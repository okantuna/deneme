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tuna\Downloads\"/>
    </mc:Choice>
  </mc:AlternateContent>
  <xr:revisionPtr revIDLastSave="0" documentId="8_{B2613F02-D556-4A96-83AB-D9A4DEA8F3E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Üretim Ham Verileri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1" i="2" l="1"/>
  <c r="L101" i="2"/>
  <c r="N101" i="2" s="1"/>
  <c r="K101" i="2"/>
  <c r="N100" i="2"/>
  <c r="M100" i="2"/>
  <c r="L100" i="2"/>
  <c r="K100" i="2"/>
  <c r="M99" i="2"/>
  <c r="L99" i="2"/>
  <c r="K99" i="2"/>
  <c r="N99" i="2" s="1"/>
  <c r="N98" i="2"/>
  <c r="M98" i="2"/>
  <c r="L98" i="2"/>
  <c r="K98" i="2"/>
  <c r="M97" i="2"/>
  <c r="L97" i="2"/>
  <c r="N97" i="2" s="1"/>
  <c r="K97" i="2"/>
  <c r="M96" i="2"/>
  <c r="L96" i="2"/>
  <c r="K96" i="2"/>
  <c r="N96" i="2" s="1"/>
  <c r="N95" i="2"/>
  <c r="M95" i="2"/>
  <c r="L95" i="2"/>
  <c r="K95" i="2"/>
  <c r="M94" i="2"/>
  <c r="L94" i="2"/>
  <c r="N94" i="2" s="1"/>
  <c r="K94" i="2"/>
  <c r="M93" i="2"/>
  <c r="L93" i="2"/>
  <c r="K93" i="2"/>
  <c r="N93" i="2" s="1"/>
  <c r="N92" i="2"/>
  <c r="M92" i="2"/>
  <c r="L92" i="2"/>
  <c r="K92" i="2"/>
  <c r="M91" i="2"/>
  <c r="L91" i="2"/>
  <c r="N91" i="2" s="1"/>
  <c r="K91" i="2"/>
  <c r="M90" i="2"/>
  <c r="L90" i="2"/>
  <c r="K90" i="2"/>
  <c r="N90" i="2" s="1"/>
  <c r="N89" i="2"/>
  <c r="M89" i="2"/>
  <c r="L89" i="2"/>
  <c r="K89" i="2"/>
  <c r="M88" i="2"/>
  <c r="L88" i="2"/>
  <c r="N88" i="2" s="1"/>
  <c r="K88" i="2"/>
  <c r="M87" i="2"/>
  <c r="L87" i="2"/>
  <c r="K87" i="2"/>
  <c r="N87" i="2" s="1"/>
  <c r="N86" i="2"/>
  <c r="M86" i="2"/>
  <c r="L86" i="2"/>
  <c r="K86" i="2"/>
  <c r="M85" i="2"/>
  <c r="L85" i="2"/>
  <c r="N85" i="2" s="1"/>
  <c r="K85" i="2"/>
  <c r="M84" i="2"/>
  <c r="L84" i="2"/>
  <c r="K84" i="2"/>
  <c r="N84" i="2" s="1"/>
  <c r="N83" i="2"/>
  <c r="M83" i="2"/>
  <c r="L83" i="2"/>
  <c r="K83" i="2"/>
  <c r="M82" i="2"/>
  <c r="L82" i="2"/>
  <c r="N82" i="2" s="1"/>
  <c r="K82" i="2"/>
  <c r="M81" i="2"/>
  <c r="L81" i="2"/>
  <c r="K81" i="2"/>
  <c r="N81" i="2" s="1"/>
  <c r="N80" i="2"/>
  <c r="M80" i="2"/>
  <c r="L80" i="2"/>
  <c r="K80" i="2"/>
  <c r="M79" i="2"/>
  <c r="L79" i="2"/>
  <c r="N79" i="2" s="1"/>
  <c r="K79" i="2"/>
  <c r="M78" i="2"/>
  <c r="L78" i="2"/>
  <c r="K78" i="2"/>
  <c r="N78" i="2" s="1"/>
  <c r="N77" i="2"/>
  <c r="M77" i="2"/>
  <c r="L77" i="2"/>
  <c r="K77" i="2"/>
  <c r="M76" i="2"/>
  <c r="L76" i="2"/>
  <c r="N76" i="2" s="1"/>
  <c r="K76" i="2"/>
  <c r="M75" i="2"/>
  <c r="L75" i="2"/>
  <c r="K75" i="2"/>
  <c r="N75" i="2" s="1"/>
  <c r="N74" i="2"/>
  <c r="M74" i="2"/>
  <c r="L74" i="2"/>
  <c r="K74" i="2"/>
  <c r="M73" i="2"/>
  <c r="L73" i="2"/>
  <c r="N73" i="2" s="1"/>
  <c r="K73" i="2"/>
  <c r="M72" i="2"/>
  <c r="L72" i="2"/>
  <c r="K72" i="2"/>
  <c r="N72" i="2" s="1"/>
  <c r="N71" i="2"/>
  <c r="M71" i="2"/>
  <c r="L71" i="2"/>
  <c r="K71" i="2"/>
  <c r="M70" i="2"/>
  <c r="L70" i="2"/>
  <c r="N70" i="2" s="1"/>
  <c r="K70" i="2"/>
  <c r="M69" i="2"/>
  <c r="L69" i="2"/>
  <c r="K69" i="2"/>
  <c r="N69" i="2" s="1"/>
  <c r="N68" i="2"/>
  <c r="M68" i="2"/>
  <c r="L68" i="2"/>
  <c r="K68" i="2"/>
  <c r="M67" i="2"/>
  <c r="L67" i="2"/>
  <c r="N67" i="2" s="1"/>
  <c r="K67" i="2"/>
  <c r="M66" i="2"/>
  <c r="L66" i="2"/>
  <c r="K66" i="2"/>
  <c r="N66" i="2" s="1"/>
  <c r="N65" i="2"/>
  <c r="M65" i="2"/>
  <c r="L65" i="2"/>
  <c r="K65" i="2"/>
  <c r="M64" i="2"/>
  <c r="L64" i="2"/>
  <c r="N64" i="2" s="1"/>
  <c r="K64" i="2"/>
  <c r="M63" i="2"/>
  <c r="L63" i="2"/>
  <c r="K63" i="2"/>
  <c r="N63" i="2" s="1"/>
  <c r="N62" i="2"/>
  <c r="M62" i="2"/>
  <c r="L62" i="2"/>
  <c r="K62" i="2"/>
  <c r="M61" i="2"/>
  <c r="L61" i="2"/>
  <c r="N61" i="2" s="1"/>
  <c r="K61" i="2"/>
  <c r="M60" i="2"/>
  <c r="L60" i="2"/>
  <c r="K60" i="2"/>
  <c r="N60" i="2" s="1"/>
  <c r="N59" i="2"/>
  <c r="M59" i="2"/>
  <c r="L59" i="2"/>
  <c r="K59" i="2"/>
  <c r="M58" i="2"/>
  <c r="L58" i="2"/>
  <c r="N58" i="2" s="1"/>
  <c r="K58" i="2"/>
  <c r="M57" i="2"/>
  <c r="L57" i="2"/>
  <c r="K57" i="2"/>
  <c r="N57" i="2" s="1"/>
  <c r="N56" i="2"/>
  <c r="M56" i="2"/>
  <c r="L56" i="2"/>
  <c r="K56" i="2"/>
  <c r="M55" i="2"/>
  <c r="L55" i="2"/>
  <c r="N55" i="2" s="1"/>
  <c r="K55" i="2"/>
  <c r="M54" i="2"/>
  <c r="L54" i="2"/>
  <c r="K54" i="2"/>
  <c r="N54" i="2" s="1"/>
  <c r="N53" i="2"/>
  <c r="M53" i="2"/>
  <c r="L53" i="2"/>
  <c r="K53" i="2"/>
  <c r="M52" i="2"/>
  <c r="L52" i="2"/>
  <c r="N52" i="2" s="1"/>
  <c r="K52" i="2"/>
  <c r="M51" i="2"/>
  <c r="L51" i="2"/>
  <c r="K51" i="2"/>
  <c r="N51" i="2" s="1"/>
  <c r="N50" i="2"/>
  <c r="M50" i="2"/>
  <c r="L50" i="2"/>
  <c r="K50" i="2"/>
  <c r="M49" i="2"/>
  <c r="L49" i="2"/>
  <c r="N49" i="2" s="1"/>
  <c r="K49" i="2"/>
  <c r="M48" i="2"/>
  <c r="L48" i="2"/>
  <c r="K48" i="2"/>
  <c r="N48" i="2" s="1"/>
  <c r="N47" i="2"/>
  <c r="M47" i="2"/>
  <c r="L47" i="2"/>
  <c r="K47" i="2"/>
  <c r="M46" i="2"/>
  <c r="L46" i="2"/>
  <c r="N46" i="2" s="1"/>
  <c r="K46" i="2"/>
  <c r="M45" i="2"/>
  <c r="L45" i="2"/>
  <c r="K45" i="2"/>
  <c r="N45" i="2" s="1"/>
  <c r="N44" i="2"/>
  <c r="M44" i="2"/>
  <c r="L44" i="2"/>
  <c r="K44" i="2"/>
  <c r="M43" i="2"/>
  <c r="L43" i="2"/>
  <c r="N43" i="2" s="1"/>
  <c r="K43" i="2"/>
  <c r="M42" i="2"/>
  <c r="L42" i="2"/>
  <c r="K42" i="2"/>
  <c r="N42" i="2" s="1"/>
  <c r="N41" i="2"/>
  <c r="M41" i="2"/>
  <c r="L41" i="2"/>
  <c r="K41" i="2"/>
  <c r="M40" i="2"/>
  <c r="L40" i="2"/>
  <c r="N40" i="2" s="1"/>
  <c r="K40" i="2"/>
  <c r="M39" i="2"/>
  <c r="L39" i="2"/>
  <c r="K39" i="2"/>
  <c r="N39" i="2" s="1"/>
  <c r="N38" i="2"/>
  <c r="M38" i="2"/>
  <c r="L38" i="2"/>
  <c r="K38" i="2"/>
  <c r="M37" i="2"/>
  <c r="L37" i="2"/>
  <c r="N37" i="2" s="1"/>
  <c r="K37" i="2"/>
  <c r="M36" i="2"/>
  <c r="L36" i="2"/>
  <c r="K36" i="2"/>
  <c r="N36" i="2" s="1"/>
  <c r="N35" i="2"/>
  <c r="M35" i="2"/>
  <c r="L35" i="2"/>
  <c r="K35" i="2"/>
  <c r="M34" i="2"/>
  <c r="L34" i="2"/>
  <c r="N34" i="2" s="1"/>
  <c r="K34" i="2"/>
  <c r="M33" i="2"/>
  <c r="L33" i="2"/>
  <c r="K33" i="2"/>
  <c r="N33" i="2" s="1"/>
  <c r="N32" i="2"/>
  <c r="M32" i="2"/>
  <c r="L32" i="2"/>
  <c r="K32" i="2"/>
  <c r="M31" i="2"/>
  <c r="L31" i="2"/>
  <c r="N31" i="2" s="1"/>
  <c r="K31" i="2"/>
  <c r="M30" i="2"/>
  <c r="L30" i="2"/>
  <c r="K30" i="2"/>
  <c r="N30" i="2" s="1"/>
  <c r="N29" i="2"/>
  <c r="M29" i="2"/>
  <c r="L29" i="2"/>
  <c r="K29" i="2"/>
  <c r="M28" i="2"/>
  <c r="L28" i="2"/>
  <c r="N28" i="2" s="1"/>
  <c r="K28" i="2"/>
  <c r="M27" i="2"/>
  <c r="L27" i="2"/>
  <c r="K27" i="2"/>
  <c r="N27" i="2" s="1"/>
  <c r="N26" i="2"/>
  <c r="M26" i="2"/>
  <c r="L26" i="2"/>
  <c r="K26" i="2"/>
  <c r="M25" i="2"/>
  <c r="L25" i="2"/>
  <c r="N25" i="2" s="1"/>
  <c r="K25" i="2"/>
  <c r="M24" i="2"/>
  <c r="L24" i="2"/>
  <c r="K24" i="2"/>
  <c r="N24" i="2" s="1"/>
  <c r="N23" i="2"/>
  <c r="M23" i="2"/>
  <c r="L23" i="2"/>
  <c r="K23" i="2"/>
  <c r="M22" i="2"/>
  <c r="L22" i="2"/>
  <c r="N22" i="2" s="1"/>
  <c r="K22" i="2"/>
  <c r="M21" i="2"/>
  <c r="L21" i="2"/>
  <c r="K21" i="2"/>
  <c r="N21" i="2" s="1"/>
  <c r="N20" i="2"/>
  <c r="M20" i="2"/>
  <c r="L20" i="2"/>
  <c r="K20" i="2"/>
  <c r="M19" i="2"/>
  <c r="L19" i="2"/>
  <c r="N19" i="2" s="1"/>
  <c r="K19" i="2"/>
  <c r="M18" i="2"/>
  <c r="L18" i="2"/>
  <c r="K18" i="2"/>
  <c r="N18" i="2" s="1"/>
  <c r="N17" i="2"/>
  <c r="M17" i="2"/>
  <c r="L17" i="2"/>
  <c r="K17" i="2"/>
  <c r="M16" i="2"/>
  <c r="L16" i="2"/>
  <c r="N16" i="2" s="1"/>
  <c r="K16" i="2"/>
  <c r="M15" i="2"/>
  <c r="L15" i="2"/>
  <c r="K15" i="2"/>
  <c r="N15" i="2" s="1"/>
  <c r="N14" i="2"/>
  <c r="M14" i="2"/>
  <c r="L14" i="2"/>
  <c r="K14" i="2"/>
  <c r="M13" i="2"/>
  <c r="L13" i="2"/>
  <c r="N13" i="2" s="1"/>
  <c r="K13" i="2"/>
  <c r="M12" i="2"/>
  <c r="L12" i="2"/>
  <c r="K12" i="2"/>
  <c r="N12" i="2" s="1"/>
  <c r="N11" i="2"/>
  <c r="M11" i="2"/>
  <c r="L11" i="2"/>
  <c r="K11" i="2"/>
  <c r="M10" i="2"/>
  <c r="L10" i="2"/>
  <c r="N10" i="2" s="1"/>
  <c r="K10" i="2"/>
  <c r="M9" i="2"/>
  <c r="L9" i="2"/>
  <c r="K9" i="2"/>
  <c r="N9" i="2" s="1"/>
  <c r="N8" i="2"/>
  <c r="M8" i="2"/>
  <c r="L8" i="2"/>
  <c r="K8" i="2"/>
  <c r="M7" i="2"/>
  <c r="L7" i="2"/>
  <c r="N7" i="2" s="1"/>
  <c r="K7" i="2"/>
  <c r="M6" i="2"/>
  <c r="L6" i="2"/>
  <c r="K6" i="2"/>
  <c r="N6" i="2" s="1"/>
  <c r="N5" i="2"/>
  <c r="M5" i="2"/>
  <c r="L5" i="2"/>
  <c r="K5" i="2"/>
  <c r="M4" i="2"/>
  <c r="L4" i="2"/>
  <c r="N4" i="2" s="1"/>
  <c r="K4" i="2"/>
  <c r="M3" i="2"/>
  <c r="L3" i="2"/>
  <c r="K3" i="2"/>
  <c r="N3" i="2" s="1"/>
  <c r="N2" i="2"/>
  <c r="M2" i="2"/>
  <c r="L2" i="2"/>
  <c r="K2" i="2"/>
</calcChain>
</file>

<file path=xl/sharedStrings.xml><?xml version="1.0" encoding="utf-8"?>
<sst xmlns="http://schemas.openxmlformats.org/spreadsheetml/2006/main" count="414" uniqueCount="61">
  <si>
    <t>Tarih</t>
  </si>
  <si>
    <t>Vardiya</t>
  </si>
  <si>
    <t>Hat / Makine</t>
  </si>
  <si>
    <t>Planlanan Süre (dk)</t>
  </si>
  <si>
    <t>Duruş Süresi (dk)</t>
  </si>
  <si>
    <t>Duruş Nedeni</t>
  </si>
  <si>
    <t>Hedef Hız (Adet/dk)</t>
  </si>
  <si>
    <t>Toplam Üretilen (Adet)</t>
  </si>
  <si>
    <t>Sağlam Ürün (Adet)</t>
  </si>
  <si>
    <t>Hatalı Ürün (Adet)</t>
  </si>
  <si>
    <t>Kullanılabilirlik (A)</t>
  </si>
  <si>
    <t>Performans (P)</t>
  </si>
  <si>
    <t>Kalite (Q)</t>
  </si>
  <si>
    <t>OEE</t>
  </si>
  <si>
    <t>2026-05-01</t>
  </si>
  <si>
    <t>Vardiya 1</t>
  </si>
  <si>
    <t>S1 Montaj Hattı</t>
  </si>
  <si>
    <t>Ayar / Kalibrasyon</t>
  </si>
  <si>
    <t>Vardiya 2</t>
  </si>
  <si>
    <t>Mekanik Arıza (Motor)</t>
  </si>
  <si>
    <t>Vardiya 3</t>
  </si>
  <si>
    <t>Yok</t>
  </si>
  <si>
    <t>2026-05-02</t>
  </si>
  <si>
    <t>Yemek ve Dinlenme Molası</t>
  </si>
  <si>
    <t>Hammadde Gecikmesi</t>
  </si>
  <si>
    <t>2026-05-03</t>
  </si>
  <si>
    <t>Elektrik Arızası (Sensör)</t>
  </si>
  <si>
    <t>2026-05-04</t>
  </si>
  <si>
    <t>Yazılım / PLC Hatasi</t>
  </si>
  <si>
    <t>2026-05-05</t>
  </si>
  <si>
    <t>2026-05-06</t>
  </si>
  <si>
    <t>Mekanik Arıza (Konveyör)</t>
  </si>
  <si>
    <t>2026-05-07</t>
  </si>
  <si>
    <t>Operatör Değişimi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</si>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</sst>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tabSelected="1" topLeftCell="C59" workbookViewId="0">
      <selection activeCell="F85" sqref="F85"/>
    </sheetView>
  </sheetViews>
  <sheetFormatPr defaultRowHeight="15" x14ac:dyDescent="0.25"/>
  <cols>
    <col min="1" max="1" width="13" customWidth="1"/>
    <col min="2" max="2" width="12" customWidth="1"/>
    <col min="3" max="3" width="18" customWidth="1"/>
    <col min="4" max="4" width="22" customWidth="1"/>
    <col min="5" max="5" width="20" customWidth="1"/>
    <col min="6" max="6" width="28" customWidth="1"/>
    <col min="7" max="7" width="22" customWidth="1"/>
    <col min="8" max="8" width="25" customWidth="1"/>
    <col min="9" max="10" width="21" customWidth="1"/>
    <col min="11" max="11" width="24" customWidth="1"/>
    <col min="12" max="12" width="27" customWidth="1"/>
    <col min="13" max="13" width="13" customWidth="1"/>
    <col min="14" max="14" width="18" customWidth="1"/>
  </cols>
  <sheetData>
    <row r="1" spans="1:1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>
        <v>480</v>
      </c>
      <c r="E2" s="3">
        <v>28</v>
      </c>
      <c r="F2" s="2" t="s">
        <v>17</v>
      </c>
      <c r="G2" s="3">
        <v>10</v>
      </c>
      <c r="H2" s="3">
        <v>4342</v>
      </c>
      <c r="I2" s="3">
        <v>4293</v>
      </c>
      <c r="J2" s="3">
        <v>49</v>
      </c>
      <c r="K2" s="4">
        <f t="shared" ref="K2:K33" si="0">(D2-E2)/D2</f>
        <v>0.94166666666666665</v>
      </c>
      <c r="L2" s="4">
        <f t="shared" ref="L2:L33" si="1">H2/((D2-E2)*G2)</f>
        <v>0.96061946902654871</v>
      </c>
      <c r="M2" s="4">
        <f t="shared" ref="M2:M33" si="2">I2/H2</f>
        <v>0.98871487793643487</v>
      </c>
      <c r="N2" s="4">
        <f t="shared" ref="N2:N33" si="3">K2*L2*M2</f>
        <v>0.89437500000000014</v>
      </c>
    </row>
    <row r="3" spans="1:14" x14ac:dyDescent="0.25">
      <c r="A3" s="5" t="s">
        <v>14</v>
      </c>
      <c r="B3" s="5" t="s">
        <v>18</v>
      </c>
      <c r="C3" s="5" t="s">
        <v>16</v>
      </c>
      <c r="D3" s="6">
        <v>480</v>
      </c>
      <c r="E3" s="6">
        <v>112</v>
      </c>
      <c r="F3" s="5" t="s">
        <v>19</v>
      </c>
      <c r="G3" s="6">
        <v>10</v>
      </c>
      <c r="H3" s="6">
        <v>3493</v>
      </c>
      <c r="I3" s="6">
        <v>3362</v>
      </c>
      <c r="J3" s="6">
        <v>131</v>
      </c>
      <c r="K3" s="7">
        <f t="shared" si="0"/>
        <v>0.76666666666666672</v>
      </c>
      <c r="L3" s="7">
        <f t="shared" si="1"/>
        <v>0.94918478260869565</v>
      </c>
      <c r="M3" s="7">
        <f t="shared" si="2"/>
        <v>0.96249642141425706</v>
      </c>
      <c r="N3" s="7">
        <f t="shared" si="3"/>
        <v>0.70041666666666669</v>
      </c>
    </row>
    <row r="4" spans="1:14" x14ac:dyDescent="0.25">
      <c r="A4" s="2" t="s">
        <v>14</v>
      </c>
      <c r="B4" s="2" t="s">
        <v>20</v>
      </c>
      <c r="C4" s="2" t="s">
        <v>16</v>
      </c>
      <c r="D4" s="3">
        <v>480</v>
      </c>
      <c r="E4" s="3">
        <v>9</v>
      </c>
      <c r="F4" s="2" t="s">
        <v>21</v>
      </c>
      <c r="G4" s="3">
        <v>10</v>
      </c>
      <c r="H4" s="3">
        <v>4543</v>
      </c>
      <c r="I4" s="3">
        <v>4466</v>
      </c>
      <c r="J4" s="3">
        <v>77</v>
      </c>
      <c r="K4" s="4">
        <f t="shared" si="0"/>
        <v>0.98124999999999996</v>
      </c>
      <c r="L4" s="4">
        <f t="shared" si="1"/>
        <v>0.96454352441613589</v>
      </c>
      <c r="M4" s="4">
        <f t="shared" si="2"/>
        <v>0.98305084745762716</v>
      </c>
      <c r="N4" s="4">
        <f t="shared" si="3"/>
        <v>0.93041666666666667</v>
      </c>
    </row>
    <row r="5" spans="1:14" x14ac:dyDescent="0.25">
      <c r="A5" s="5" t="s">
        <v>22</v>
      </c>
      <c r="B5" s="5" t="s">
        <v>15</v>
      </c>
      <c r="C5" s="5" t="s">
        <v>16</v>
      </c>
      <c r="D5" s="6">
        <v>480</v>
      </c>
      <c r="E5" s="6">
        <v>7</v>
      </c>
      <c r="F5" s="5" t="s">
        <v>21</v>
      </c>
      <c r="G5" s="6">
        <v>10</v>
      </c>
      <c r="H5" s="6">
        <v>4456</v>
      </c>
      <c r="I5" s="6">
        <v>4401</v>
      </c>
      <c r="J5" s="6">
        <v>55</v>
      </c>
      <c r="K5" s="7">
        <f t="shared" si="0"/>
        <v>0.98541666666666672</v>
      </c>
      <c r="L5" s="7">
        <f t="shared" si="1"/>
        <v>0.94207188160676536</v>
      </c>
      <c r="M5" s="7">
        <f t="shared" si="2"/>
        <v>0.98765709156193893</v>
      </c>
      <c r="N5" s="7">
        <f t="shared" si="3"/>
        <v>0.91687500000000011</v>
      </c>
    </row>
    <row r="6" spans="1:14" x14ac:dyDescent="0.25">
      <c r="A6" s="2" t="s">
        <v>22</v>
      </c>
      <c r="B6" s="2" t="s">
        <v>18</v>
      </c>
      <c r="C6" s="2" t="s">
        <v>16</v>
      </c>
      <c r="D6" s="3">
        <v>480</v>
      </c>
      <c r="E6" s="3">
        <v>19</v>
      </c>
      <c r="F6" s="2" t="s">
        <v>23</v>
      </c>
      <c r="G6" s="3">
        <v>10</v>
      </c>
      <c r="H6" s="3">
        <v>4380</v>
      </c>
      <c r="I6" s="3">
        <v>4224</v>
      </c>
      <c r="J6" s="3">
        <v>156</v>
      </c>
      <c r="K6" s="4">
        <f t="shared" si="0"/>
        <v>0.9604166666666667</v>
      </c>
      <c r="L6" s="4">
        <f t="shared" si="1"/>
        <v>0.95010845986984815</v>
      </c>
      <c r="M6" s="4">
        <f t="shared" si="2"/>
        <v>0.96438356164383565</v>
      </c>
      <c r="N6" s="4">
        <f t="shared" si="3"/>
        <v>0.88</v>
      </c>
    </row>
    <row r="7" spans="1:14" x14ac:dyDescent="0.25">
      <c r="A7" s="5" t="s">
        <v>22</v>
      </c>
      <c r="B7" s="5" t="s">
        <v>20</v>
      </c>
      <c r="C7" s="5" t="s">
        <v>16</v>
      </c>
      <c r="D7" s="6">
        <v>480</v>
      </c>
      <c r="E7" s="6">
        <v>56</v>
      </c>
      <c r="F7" s="5" t="s">
        <v>24</v>
      </c>
      <c r="G7" s="6">
        <v>10</v>
      </c>
      <c r="H7" s="6">
        <v>4144</v>
      </c>
      <c r="I7" s="6">
        <v>4072</v>
      </c>
      <c r="J7" s="6">
        <v>72</v>
      </c>
      <c r="K7" s="7">
        <f t="shared" si="0"/>
        <v>0.8833333333333333</v>
      </c>
      <c r="L7" s="7">
        <f t="shared" si="1"/>
        <v>0.97735849056603774</v>
      </c>
      <c r="M7" s="7">
        <f t="shared" si="2"/>
        <v>0.98262548262548266</v>
      </c>
      <c r="N7" s="7">
        <f t="shared" si="3"/>
        <v>0.84833333333333327</v>
      </c>
    </row>
    <row r="8" spans="1:14" x14ac:dyDescent="0.25">
      <c r="A8" s="2" t="s">
        <v>25</v>
      </c>
      <c r="B8" s="2" t="s">
        <v>15</v>
      </c>
      <c r="C8" s="2" t="s">
        <v>16</v>
      </c>
      <c r="D8" s="3">
        <v>480</v>
      </c>
      <c r="E8" s="3">
        <v>35</v>
      </c>
      <c r="F8" s="2" t="s">
        <v>17</v>
      </c>
      <c r="G8" s="3">
        <v>10</v>
      </c>
      <c r="H8" s="3">
        <v>4321</v>
      </c>
      <c r="I8" s="3">
        <v>4267</v>
      </c>
      <c r="J8" s="3">
        <v>54</v>
      </c>
      <c r="K8" s="4">
        <f t="shared" si="0"/>
        <v>0.92708333333333337</v>
      </c>
      <c r="L8" s="4">
        <f t="shared" si="1"/>
        <v>0.97101123595505623</v>
      </c>
      <c r="M8" s="4">
        <f t="shared" si="2"/>
        <v>0.9875028928488776</v>
      </c>
      <c r="N8" s="4">
        <f t="shared" si="3"/>
        <v>0.88895833333333341</v>
      </c>
    </row>
    <row r="9" spans="1:14" x14ac:dyDescent="0.25">
      <c r="A9" s="5" t="s">
        <v>25</v>
      </c>
      <c r="B9" s="5" t="s">
        <v>18</v>
      </c>
      <c r="C9" s="5" t="s">
        <v>16</v>
      </c>
      <c r="D9" s="6">
        <v>480</v>
      </c>
      <c r="E9" s="6">
        <v>116</v>
      </c>
      <c r="F9" s="5" t="s">
        <v>26</v>
      </c>
      <c r="G9" s="6">
        <v>10</v>
      </c>
      <c r="H9" s="6">
        <v>3312</v>
      </c>
      <c r="I9" s="6">
        <v>3204</v>
      </c>
      <c r="J9" s="6">
        <v>108</v>
      </c>
      <c r="K9" s="7">
        <f t="shared" si="0"/>
        <v>0.7583333333333333</v>
      </c>
      <c r="L9" s="7">
        <f t="shared" si="1"/>
        <v>0.90989010989010988</v>
      </c>
      <c r="M9" s="7">
        <f t="shared" si="2"/>
        <v>0.96739130434782605</v>
      </c>
      <c r="N9" s="7">
        <f t="shared" si="3"/>
        <v>0.66749999999999987</v>
      </c>
    </row>
    <row r="10" spans="1:14" x14ac:dyDescent="0.25">
      <c r="A10" s="2" t="s">
        <v>25</v>
      </c>
      <c r="B10" s="2" t="s">
        <v>20</v>
      </c>
      <c r="C10" s="2" t="s">
        <v>16</v>
      </c>
      <c r="D10" s="3">
        <v>480</v>
      </c>
      <c r="E10" s="3">
        <v>65</v>
      </c>
      <c r="F10" s="2" t="s">
        <v>24</v>
      </c>
      <c r="G10" s="3">
        <v>10</v>
      </c>
      <c r="H10" s="3">
        <v>3902</v>
      </c>
      <c r="I10" s="3">
        <v>3839</v>
      </c>
      <c r="J10" s="3">
        <v>63</v>
      </c>
      <c r="K10" s="4">
        <f t="shared" si="0"/>
        <v>0.86458333333333337</v>
      </c>
      <c r="L10" s="4">
        <f t="shared" si="1"/>
        <v>0.94024096385542166</v>
      </c>
      <c r="M10" s="4">
        <f t="shared" si="2"/>
        <v>0.98385443362378266</v>
      </c>
      <c r="N10" s="4">
        <f t="shared" si="3"/>
        <v>0.79979166666666668</v>
      </c>
    </row>
    <row r="11" spans="1:14" x14ac:dyDescent="0.25">
      <c r="A11" s="5" t="s">
        <v>27</v>
      </c>
      <c r="B11" s="5" t="s">
        <v>15</v>
      </c>
      <c r="C11" s="5" t="s">
        <v>16</v>
      </c>
      <c r="D11" s="6">
        <v>480</v>
      </c>
      <c r="E11" s="6">
        <v>6</v>
      </c>
      <c r="F11" s="5" t="s">
        <v>21</v>
      </c>
      <c r="G11" s="6">
        <v>10</v>
      </c>
      <c r="H11" s="6">
        <v>4622</v>
      </c>
      <c r="I11" s="6">
        <v>4586</v>
      </c>
      <c r="J11" s="6">
        <v>36</v>
      </c>
      <c r="K11" s="7">
        <f t="shared" si="0"/>
        <v>0.98750000000000004</v>
      </c>
      <c r="L11" s="7">
        <f t="shared" si="1"/>
        <v>0.97510548523206753</v>
      </c>
      <c r="M11" s="7">
        <f t="shared" si="2"/>
        <v>0.99221116399826914</v>
      </c>
      <c r="N11" s="7">
        <f t="shared" si="3"/>
        <v>0.95541666666666669</v>
      </c>
    </row>
    <row r="12" spans="1:14" x14ac:dyDescent="0.25">
      <c r="A12" s="2" t="s">
        <v>27</v>
      </c>
      <c r="B12" s="2" t="s">
        <v>18</v>
      </c>
      <c r="C12" s="2" t="s">
        <v>16</v>
      </c>
      <c r="D12" s="3">
        <v>480</v>
      </c>
      <c r="E12" s="3">
        <v>54</v>
      </c>
      <c r="F12" s="2" t="s">
        <v>28</v>
      </c>
      <c r="G12" s="3">
        <v>10</v>
      </c>
      <c r="H12" s="3">
        <v>3998</v>
      </c>
      <c r="I12" s="3">
        <v>3877</v>
      </c>
      <c r="J12" s="3">
        <v>121</v>
      </c>
      <c r="K12" s="4">
        <f t="shared" si="0"/>
        <v>0.88749999999999996</v>
      </c>
      <c r="L12" s="4">
        <f t="shared" si="1"/>
        <v>0.93849765258215967</v>
      </c>
      <c r="M12" s="4">
        <f t="shared" si="2"/>
        <v>0.96973486743371684</v>
      </c>
      <c r="N12" s="4">
        <f t="shared" si="3"/>
        <v>0.80770833333333325</v>
      </c>
    </row>
    <row r="13" spans="1:14" x14ac:dyDescent="0.25">
      <c r="A13" s="5" t="s">
        <v>27</v>
      </c>
      <c r="B13" s="5" t="s">
        <v>20</v>
      </c>
      <c r="C13" s="5" t="s">
        <v>16</v>
      </c>
      <c r="D13" s="6">
        <v>480</v>
      </c>
      <c r="E13" s="6">
        <v>14</v>
      </c>
      <c r="F13" s="5" t="s">
        <v>21</v>
      </c>
      <c r="G13" s="6">
        <v>10</v>
      </c>
      <c r="H13" s="6">
        <v>4465</v>
      </c>
      <c r="I13" s="6">
        <v>4392</v>
      </c>
      <c r="J13" s="6">
        <v>73</v>
      </c>
      <c r="K13" s="7">
        <f t="shared" si="0"/>
        <v>0.97083333333333333</v>
      </c>
      <c r="L13" s="7">
        <f t="shared" si="1"/>
        <v>0.95815450643776823</v>
      </c>
      <c r="M13" s="7">
        <f t="shared" si="2"/>
        <v>0.98365061590145575</v>
      </c>
      <c r="N13" s="7">
        <f t="shared" si="3"/>
        <v>0.91499999999999992</v>
      </c>
    </row>
    <row r="14" spans="1:14" x14ac:dyDescent="0.25">
      <c r="A14" s="2" t="s">
        <v>29</v>
      </c>
      <c r="B14" s="2" t="s">
        <v>15</v>
      </c>
      <c r="C14" s="2" t="s">
        <v>16</v>
      </c>
      <c r="D14" s="3">
        <v>480</v>
      </c>
      <c r="E14" s="3">
        <v>0</v>
      </c>
      <c r="F14" s="2" t="s">
        <v>21</v>
      </c>
      <c r="G14" s="3">
        <v>10</v>
      </c>
      <c r="H14" s="3">
        <v>4720</v>
      </c>
      <c r="I14" s="3">
        <v>4669</v>
      </c>
      <c r="J14" s="3">
        <v>51</v>
      </c>
      <c r="K14" s="4">
        <f t="shared" si="0"/>
        <v>1</v>
      </c>
      <c r="L14" s="4">
        <f t="shared" si="1"/>
        <v>0.98333333333333328</v>
      </c>
      <c r="M14" s="4">
        <f t="shared" si="2"/>
        <v>0.98919491525423731</v>
      </c>
      <c r="N14" s="4">
        <f t="shared" si="3"/>
        <v>0.97270833333333329</v>
      </c>
    </row>
    <row r="15" spans="1:14" x14ac:dyDescent="0.25">
      <c r="A15" s="5" t="s">
        <v>29</v>
      </c>
      <c r="B15" s="5" t="s">
        <v>18</v>
      </c>
      <c r="C15" s="5" t="s">
        <v>16</v>
      </c>
      <c r="D15" s="6">
        <v>480</v>
      </c>
      <c r="E15" s="6">
        <v>113</v>
      </c>
      <c r="F15" s="5" t="s">
        <v>19</v>
      </c>
      <c r="G15" s="6">
        <v>10</v>
      </c>
      <c r="H15" s="6">
        <v>3581</v>
      </c>
      <c r="I15" s="6">
        <v>3464</v>
      </c>
      <c r="J15" s="6">
        <v>117</v>
      </c>
      <c r="K15" s="7">
        <f t="shared" si="0"/>
        <v>0.76458333333333328</v>
      </c>
      <c r="L15" s="7">
        <f t="shared" si="1"/>
        <v>0.97574931880108995</v>
      </c>
      <c r="M15" s="7">
        <f t="shared" si="2"/>
        <v>0.96732756213348225</v>
      </c>
      <c r="N15" s="7">
        <f t="shared" si="3"/>
        <v>0.72166666666666657</v>
      </c>
    </row>
    <row r="16" spans="1:14" x14ac:dyDescent="0.25">
      <c r="A16" s="2" t="s">
        <v>29</v>
      </c>
      <c r="B16" s="2" t="s">
        <v>20</v>
      </c>
      <c r="C16" s="2" t="s">
        <v>16</v>
      </c>
      <c r="D16" s="3">
        <v>480</v>
      </c>
      <c r="E16" s="3">
        <v>2</v>
      </c>
      <c r="F16" s="2" t="s">
        <v>21</v>
      </c>
      <c r="G16" s="3">
        <v>10</v>
      </c>
      <c r="H16" s="3">
        <v>4647</v>
      </c>
      <c r="I16" s="3">
        <v>4573</v>
      </c>
      <c r="J16" s="3">
        <v>74</v>
      </c>
      <c r="K16" s="4">
        <f t="shared" si="0"/>
        <v>0.99583333333333335</v>
      </c>
      <c r="L16" s="4">
        <f t="shared" si="1"/>
        <v>0.97217573221757325</v>
      </c>
      <c r="M16" s="4">
        <f t="shared" si="2"/>
        <v>0.98407574779427587</v>
      </c>
      <c r="N16" s="4">
        <f t="shared" si="3"/>
        <v>0.95270833333333338</v>
      </c>
    </row>
    <row r="17" spans="1:14" x14ac:dyDescent="0.25">
      <c r="A17" s="5" t="s">
        <v>30</v>
      </c>
      <c r="B17" s="5" t="s">
        <v>15</v>
      </c>
      <c r="C17" s="5" t="s">
        <v>16</v>
      </c>
      <c r="D17" s="6">
        <v>480</v>
      </c>
      <c r="E17" s="6">
        <v>4</v>
      </c>
      <c r="F17" s="5" t="s">
        <v>21</v>
      </c>
      <c r="G17" s="6">
        <v>10</v>
      </c>
      <c r="H17" s="6">
        <v>4578</v>
      </c>
      <c r="I17" s="6">
        <v>4537</v>
      </c>
      <c r="J17" s="6">
        <v>41</v>
      </c>
      <c r="K17" s="7">
        <f t="shared" si="0"/>
        <v>0.9916666666666667</v>
      </c>
      <c r="L17" s="7">
        <f t="shared" si="1"/>
        <v>0.96176470588235297</v>
      </c>
      <c r="M17" s="7">
        <f t="shared" si="2"/>
        <v>0.99104412407164699</v>
      </c>
      <c r="N17" s="7">
        <f t="shared" si="3"/>
        <v>0.94520833333333343</v>
      </c>
    </row>
    <row r="18" spans="1:14" x14ac:dyDescent="0.25">
      <c r="A18" s="2" t="s">
        <v>30</v>
      </c>
      <c r="B18" s="2" t="s">
        <v>18</v>
      </c>
      <c r="C18" s="2" t="s">
        <v>16</v>
      </c>
      <c r="D18" s="3">
        <v>480</v>
      </c>
      <c r="E18" s="3">
        <v>126</v>
      </c>
      <c r="F18" s="2" t="s">
        <v>31</v>
      </c>
      <c r="G18" s="3">
        <v>10</v>
      </c>
      <c r="H18" s="3">
        <v>3264</v>
      </c>
      <c r="I18" s="3">
        <v>3159</v>
      </c>
      <c r="J18" s="3">
        <v>105</v>
      </c>
      <c r="K18" s="4">
        <f t="shared" si="0"/>
        <v>0.73750000000000004</v>
      </c>
      <c r="L18" s="4">
        <f t="shared" si="1"/>
        <v>0.92203389830508475</v>
      </c>
      <c r="M18" s="4">
        <f t="shared" si="2"/>
        <v>0.96783088235294112</v>
      </c>
      <c r="N18" s="4">
        <f t="shared" si="3"/>
        <v>0.65812499999999996</v>
      </c>
    </row>
    <row r="19" spans="1:14" x14ac:dyDescent="0.25">
      <c r="A19" s="5" t="s">
        <v>30</v>
      </c>
      <c r="B19" s="5" t="s">
        <v>20</v>
      </c>
      <c r="C19" s="5" t="s">
        <v>16</v>
      </c>
      <c r="D19" s="6">
        <v>480</v>
      </c>
      <c r="E19" s="6">
        <v>14</v>
      </c>
      <c r="F19" s="5" t="s">
        <v>21</v>
      </c>
      <c r="G19" s="6">
        <v>10</v>
      </c>
      <c r="H19" s="6">
        <v>4545</v>
      </c>
      <c r="I19" s="6">
        <v>4485</v>
      </c>
      <c r="J19" s="6">
        <v>60</v>
      </c>
      <c r="K19" s="7">
        <f t="shared" si="0"/>
        <v>0.97083333333333333</v>
      </c>
      <c r="L19" s="7">
        <f t="shared" si="1"/>
        <v>0.97532188841201717</v>
      </c>
      <c r="M19" s="7">
        <f t="shared" si="2"/>
        <v>0.98679867986798675</v>
      </c>
      <c r="N19" s="7">
        <f t="shared" si="3"/>
        <v>0.93437499999999996</v>
      </c>
    </row>
    <row r="20" spans="1:14" x14ac:dyDescent="0.25">
      <c r="A20" s="2" t="s">
        <v>32</v>
      </c>
      <c r="B20" s="2" t="s">
        <v>15</v>
      </c>
      <c r="C20" s="2" t="s">
        <v>16</v>
      </c>
      <c r="D20" s="3">
        <v>480</v>
      </c>
      <c r="E20" s="3">
        <v>28</v>
      </c>
      <c r="F20" s="2" t="s">
        <v>33</v>
      </c>
      <c r="G20" s="3">
        <v>10</v>
      </c>
      <c r="H20" s="3">
        <v>4263</v>
      </c>
      <c r="I20" s="3">
        <v>4183</v>
      </c>
      <c r="J20" s="3">
        <v>80</v>
      </c>
      <c r="K20" s="4">
        <f t="shared" si="0"/>
        <v>0.94166666666666665</v>
      </c>
      <c r="L20" s="4">
        <f t="shared" si="1"/>
        <v>0.94314159292035393</v>
      </c>
      <c r="M20" s="4">
        <f t="shared" si="2"/>
        <v>0.9812338728594886</v>
      </c>
      <c r="N20" s="4">
        <f t="shared" si="3"/>
        <v>0.87145833333333322</v>
      </c>
    </row>
    <row r="21" spans="1:14" x14ac:dyDescent="0.25">
      <c r="A21" s="5" t="s">
        <v>32</v>
      </c>
      <c r="B21" s="5" t="s">
        <v>18</v>
      </c>
      <c r="C21" s="5" t="s">
        <v>16</v>
      </c>
      <c r="D21" s="6">
        <v>480</v>
      </c>
      <c r="E21" s="6">
        <v>15</v>
      </c>
      <c r="F21" s="5" t="s">
        <v>23</v>
      </c>
      <c r="G21" s="6">
        <v>10</v>
      </c>
      <c r="H21" s="6">
        <v>4500</v>
      </c>
      <c r="I21" s="6">
        <v>4350</v>
      </c>
      <c r="J21" s="6">
        <v>150</v>
      </c>
      <c r="K21" s="7">
        <f t="shared" si="0"/>
        <v>0.96875</v>
      </c>
      <c r="L21" s="7">
        <f t="shared" si="1"/>
        <v>0.967741935483871</v>
      </c>
      <c r="M21" s="7">
        <f t="shared" si="2"/>
        <v>0.96666666666666667</v>
      </c>
      <c r="N21" s="7">
        <f t="shared" si="3"/>
        <v>0.90625</v>
      </c>
    </row>
    <row r="22" spans="1:14" x14ac:dyDescent="0.25">
      <c r="A22" s="2" t="s">
        <v>32</v>
      </c>
      <c r="B22" s="2" t="s">
        <v>20</v>
      </c>
      <c r="C22" s="2" t="s">
        <v>16</v>
      </c>
      <c r="D22" s="3">
        <v>480</v>
      </c>
      <c r="E22" s="3">
        <v>3</v>
      </c>
      <c r="F22" s="2" t="s">
        <v>21</v>
      </c>
      <c r="G22" s="3">
        <v>10</v>
      </c>
      <c r="H22" s="3">
        <v>4525</v>
      </c>
      <c r="I22" s="3">
        <v>4466</v>
      </c>
      <c r="J22" s="3">
        <v>59</v>
      </c>
      <c r="K22" s="4">
        <f t="shared" si="0"/>
        <v>0.99375000000000002</v>
      </c>
      <c r="L22" s="4">
        <f t="shared" si="1"/>
        <v>0.94863731656184491</v>
      </c>
      <c r="M22" s="4">
        <f t="shared" si="2"/>
        <v>0.98696132596685082</v>
      </c>
      <c r="N22" s="4">
        <f t="shared" si="3"/>
        <v>0.93041666666666667</v>
      </c>
    </row>
    <row r="23" spans="1:14" x14ac:dyDescent="0.25">
      <c r="A23" s="5" t="s">
        <v>34</v>
      </c>
      <c r="B23" s="5" t="s">
        <v>15</v>
      </c>
      <c r="C23" s="5" t="s">
        <v>16</v>
      </c>
      <c r="D23" s="6">
        <v>480</v>
      </c>
      <c r="E23" s="6">
        <v>4</v>
      </c>
      <c r="F23" s="5" t="s">
        <v>21</v>
      </c>
      <c r="G23" s="6">
        <v>10</v>
      </c>
      <c r="H23" s="6">
        <v>4634</v>
      </c>
      <c r="I23" s="6">
        <v>4545</v>
      </c>
      <c r="J23" s="6">
        <v>89</v>
      </c>
      <c r="K23" s="7">
        <f t="shared" si="0"/>
        <v>0.9916666666666667</v>
      </c>
      <c r="L23" s="7">
        <f t="shared" si="1"/>
        <v>0.97352941176470587</v>
      </c>
      <c r="M23" s="7">
        <f t="shared" si="2"/>
        <v>0.98079413034095808</v>
      </c>
      <c r="N23" s="7">
        <f t="shared" si="3"/>
        <v>0.94687500000000002</v>
      </c>
    </row>
    <row r="24" spans="1:14" x14ac:dyDescent="0.25">
      <c r="A24" s="2" t="s">
        <v>34</v>
      </c>
      <c r="B24" s="2" t="s">
        <v>18</v>
      </c>
      <c r="C24" s="2" t="s">
        <v>16</v>
      </c>
      <c r="D24" s="3">
        <v>480</v>
      </c>
      <c r="E24" s="3">
        <v>74</v>
      </c>
      <c r="F24" s="2" t="s">
        <v>26</v>
      </c>
      <c r="G24" s="3">
        <v>10</v>
      </c>
      <c r="H24" s="3">
        <v>3905</v>
      </c>
      <c r="I24" s="3">
        <v>3782</v>
      </c>
      <c r="J24" s="3">
        <v>123</v>
      </c>
      <c r="K24" s="4">
        <f t="shared" si="0"/>
        <v>0.84583333333333333</v>
      </c>
      <c r="L24" s="4">
        <f t="shared" si="1"/>
        <v>0.96182266009852213</v>
      </c>
      <c r="M24" s="4">
        <f t="shared" si="2"/>
        <v>0.96850192061459672</v>
      </c>
      <c r="N24" s="4">
        <f t="shared" si="3"/>
        <v>0.7879166666666666</v>
      </c>
    </row>
    <row r="25" spans="1:14" x14ac:dyDescent="0.25">
      <c r="A25" s="5" t="s">
        <v>34</v>
      </c>
      <c r="B25" s="5" t="s">
        <v>20</v>
      </c>
      <c r="C25" s="5" t="s">
        <v>16</v>
      </c>
      <c r="D25" s="6">
        <v>480</v>
      </c>
      <c r="E25" s="6">
        <v>0</v>
      </c>
      <c r="F25" s="5" t="s">
        <v>21</v>
      </c>
      <c r="G25" s="6">
        <v>10</v>
      </c>
      <c r="H25" s="6">
        <v>4744</v>
      </c>
      <c r="I25" s="6">
        <v>4715</v>
      </c>
      <c r="J25" s="6">
        <v>29</v>
      </c>
      <c r="K25" s="7">
        <f t="shared" si="0"/>
        <v>1</v>
      </c>
      <c r="L25" s="7">
        <f t="shared" si="1"/>
        <v>0.98833333333333329</v>
      </c>
      <c r="M25" s="7">
        <f t="shared" si="2"/>
        <v>0.99388701517706579</v>
      </c>
      <c r="N25" s="7">
        <f t="shared" si="3"/>
        <v>0.98229166666666667</v>
      </c>
    </row>
    <row r="26" spans="1:14" x14ac:dyDescent="0.25">
      <c r="A26" s="2" t="s">
        <v>35</v>
      </c>
      <c r="B26" s="2" t="s">
        <v>15</v>
      </c>
      <c r="C26" s="2" t="s">
        <v>16</v>
      </c>
      <c r="D26" s="3">
        <v>480</v>
      </c>
      <c r="E26" s="3">
        <v>55</v>
      </c>
      <c r="F26" s="2" t="s">
        <v>33</v>
      </c>
      <c r="G26" s="3">
        <v>10</v>
      </c>
      <c r="H26" s="3">
        <v>4099</v>
      </c>
      <c r="I26" s="3">
        <v>4050</v>
      </c>
      <c r="J26" s="3">
        <v>49</v>
      </c>
      <c r="K26" s="4">
        <f t="shared" si="0"/>
        <v>0.88541666666666663</v>
      </c>
      <c r="L26" s="4">
        <f t="shared" si="1"/>
        <v>0.96447058823529408</v>
      </c>
      <c r="M26" s="4">
        <f t="shared" si="2"/>
        <v>0.98804586484508417</v>
      </c>
      <c r="N26" s="4">
        <f t="shared" si="3"/>
        <v>0.84374999999999989</v>
      </c>
    </row>
    <row r="27" spans="1:14" x14ac:dyDescent="0.25">
      <c r="A27" s="5" t="s">
        <v>35</v>
      </c>
      <c r="B27" s="5" t="s">
        <v>18</v>
      </c>
      <c r="C27" s="5" t="s">
        <v>16</v>
      </c>
      <c r="D27" s="6">
        <v>480</v>
      </c>
      <c r="E27" s="6">
        <v>82</v>
      </c>
      <c r="F27" s="5" t="s">
        <v>31</v>
      </c>
      <c r="G27" s="6">
        <v>10</v>
      </c>
      <c r="H27" s="6">
        <v>3760</v>
      </c>
      <c r="I27" s="6">
        <v>3623</v>
      </c>
      <c r="J27" s="6">
        <v>137</v>
      </c>
      <c r="K27" s="7">
        <f t="shared" si="0"/>
        <v>0.82916666666666672</v>
      </c>
      <c r="L27" s="7">
        <f t="shared" si="1"/>
        <v>0.94472361809045224</v>
      </c>
      <c r="M27" s="7">
        <f t="shared" si="2"/>
        <v>0.96356382978723409</v>
      </c>
      <c r="N27" s="7">
        <f t="shared" si="3"/>
        <v>0.75479166666666675</v>
      </c>
    </row>
    <row r="28" spans="1:14" x14ac:dyDescent="0.25">
      <c r="A28" s="2" t="s">
        <v>35</v>
      </c>
      <c r="B28" s="2" t="s">
        <v>20</v>
      </c>
      <c r="C28" s="2" t="s">
        <v>16</v>
      </c>
      <c r="D28" s="3">
        <v>480</v>
      </c>
      <c r="E28" s="3">
        <v>12</v>
      </c>
      <c r="F28" s="2" t="s">
        <v>21</v>
      </c>
      <c r="G28" s="3">
        <v>10</v>
      </c>
      <c r="H28" s="3">
        <v>4533</v>
      </c>
      <c r="I28" s="3">
        <v>4484</v>
      </c>
      <c r="J28" s="3">
        <v>49</v>
      </c>
      <c r="K28" s="4">
        <f t="shared" si="0"/>
        <v>0.97499999999999998</v>
      </c>
      <c r="L28" s="4">
        <f t="shared" si="1"/>
        <v>0.96858974358974359</v>
      </c>
      <c r="M28" s="4">
        <f t="shared" si="2"/>
        <v>0.98919038164570927</v>
      </c>
      <c r="N28" s="4">
        <f t="shared" si="3"/>
        <v>0.9341666666666667</v>
      </c>
    </row>
    <row r="29" spans="1:14" x14ac:dyDescent="0.25">
      <c r="A29" s="5" t="s">
        <v>36</v>
      </c>
      <c r="B29" s="5" t="s">
        <v>15</v>
      </c>
      <c r="C29" s="5" t="s">
        <v>16</v>
      </c>
      <c r="D29" s="6">
        <v>480</v>
      </c>
      <c r="E29" s="6">
        <v>31</v>
      </c>
      <c r="F29" s="5" t="s">
        <v>33</v>
      </c>
      <c r="G29" s="6">
        <v>10</v>
      </c>
      <c r="H29" s="6">
        <v>4230</v>
      </c>
      <c r="I29" s="6">
        <v>4148</v>
      </c>
      <c r="J29" s="6">
        <v>82</v>
      </c>
      <c r="K29" s="7">
        <f t="shared" si="0"/>
        <v>0.93541666666666667</v>
      </c>
      <c r="L29" s="7">
        <f t="shared" si="1"/>
        <v>0.94209354120267264</v>
      </c>
      <c r="M29" s="7">
        <f t="shared" si="2"/>
        <v>0.98061465721040186</v>
      </c>
      <c r="N29" s="7">
        <f t="shared" si="3"/>
        <v>0.86416666666666675</v>
      </c>
    </row>
    <row r="30" spans="1:14" x14ac:dyDescent="0.25">
      <c r="A30" s="2" t="s">
        <v>36</v>
      </c>
      <c r="B30" s="2" t="s">
        <v>18</v>
      </c>
      <c r="C30" s="2" t="s">
        <v>16</v>
      </c>
      <c r="D30" s="3">
        <v>480</v>
      </c>
      <c r="E30" s="3">
        <v>95</v>
      </c>
      <c r="F30" s="2" t="s">
        <v>31</v>
      </c>
      <c r="G30" s="3">
        <v>10</v>
      </c>
      <c r="H30" s="3">
        <v>3747</v>
      </c>
      <c r="I30" s="3">
        <v>3572</v>
      </c>
      <c r="J30" s="3">
        <v>175</v>
      </c>
      <c r="K30" s="4">
        <f t="shared" si="0"/>
        <v>0.80208333333333337</v>
      </c>
      <c r="L30" s="4">
        <f t="shared" si="1"/>
        <v>0.97324675324675325</v>
      </c>
      <c r="M30" s="4">
        <f t="shared" si="2"/>
        <v>0.95329597010942091</v>
      </c>
      <c r="N30" s="4">
        <f t="shared" si="3"/>
        <v>0.74416666666666675</v>
      </c>
    </row>
    <row r="31" spans="1:14" x14ac:dyDescent="0.25">
      <c r="A31" s="5" t="s">
        <v>36</v>
      </c>
      <c r="B31" s="5" t="s">
        <v>20</v>
      </c>
      <c r="C31" s="5" t="s">
        <v>16</v>
      </c>
      <c r="D31" s="6">
        <v>480</v>
      </c>
      <c r="E31" s="6">
        <v>13</v>
      </c>
      <c r="F31" s="5" t="s">
        <v>21</v>
      </c>
      <c r="G31" s="6">
        <v>10</v>
      </c>
      <c r="H31" s="6">
        <v>4499</v>
      </c>
      <c r="I31" s="6">
        <v>4419</v>
      </c>
      <c r="J31" s="6">
        <v>80</v>
      </c>
      <c r="K31" s="7">
        <f t="shared" si="0"/>
        <v>0.97291666666666665</v>
      </c>
      <c r="L31" s="7">
        <f t="shared" si="1"/>
        <v>0.96338329764453956</v>
      </c>
      <c r="M31" s="7">
        <f t="shared" si="2"/>
        <v>0.98221827072682821</v>
      </c>
      <c r="N31" s="7">
        <f t="shared" si="3"/>
        <v>0.92062500000000003</v>
      </c>
    </row>
    <row r="32" spans="1:14" x14ac:dyDescent="0.25">
      <c r="A32" s="2" t="s">
        <v>37</v>
      </c>
      <c r="B32" s="2" t="s">
        <v>15</v>
      </c>
      <c r="C32" s="2" t="s">
        <v>16</v>
      </c>
      <c r="D32" s="3">
        <v>480</v>
      </c>
      <c r="E32" s="3">
        <v>47</v>
      </c>
      <c r="F32" s="2" t="s">
        <v>33</v>
      </c>
      <c r="G32" s="3">
        <v>10</v>
      </c>
      <c r="H32" s="3">
        <v>4083</v>
      </c>
      <c r="I32" s="3">
        <v>4032</v>
      </c>
      <c r="J32" s="3">
        <v>51</v>
      </c>
      <c r="K32" s="4">
        <f t="shared" si="0"/>
        <v>0.90208333333333335</v>
      </c>
      <c r="L32" s="4">
        <f t="shared" si="1"/>
        <v>0.94295612009237872</v>
      </c>
      <c r="M32" s="4">
        <f t="shared" si="2"/>
        <v>0.98750918442321822</v>
      </c>
      <c r="N32" s="4">
        <f t="shared" si="3"/>
        <v>0.84</v>
      </c>
    </row>
    <row r="33" spans="1:14" x14ac:dyDescent="0.25">
      <c r="A33" s="5" t="s">
        <v>37</v>
      </c>
      <c r="B33" s="5" t="s">
        <v>18</v>
      </c>
      <c r="C33" s="5" t="s">
        <v>16</v>
      </c>
      <c r="D33" s="6">
        <v>480</v>
      </c>
      <c r="E33" s="6">
        <v>55</v>
      </c>
      <c r="F33" s="5" t="s">
        <v>28</v>
      </c>
      <c r="G33" s="6">
        <v>10</v>
      </c>
      <c r="H33" s="6">
        <v>4087</v>
      </c>
      <c r="I33" s="6">
        <v>3950</v>
      </c>
      <c r="J33" s="6">
        <v>137</v>
      </c>
      <c r="K33" s="7">
        <f t="shared" si="0"/>
        <v>0.88541666666666663</v>
      </c>
      <c r="L33" s="7">
        <f t="shared" si="1"/>
        <v>0.96164705882352941</v>
      </c>
      <c r="M33" s="7">
        <f t="shared" si="2"/>
        <v>0.96647908000978711</v>
      </c>
      <c r="N33" s="7">
        <f t="shared" si="3"/>
        <v>0.82291666666666663</v>
      </c>
    </row>
    <row r="34" spans="1:14" x14ac:dyDescent="0.25">
      <c r="A34" s="2" t="s">
        <v>37</v>
      </c>
      <c r="B34" s="2" t="s">
        <v>20</v>
      </c>
      <c r="C34" s="2" t="s">
        <v>16</v>
      </c>
      <c r="D34" s="3">
        <v>480</v>
      </c>
      <c r="E34" s="3">
        <v>9</v>
      </c>
      <c r="F34" s="2" t="s">
        <v>21</v>
      </c>
      <c r="G34" s="3">
        <v>10</v>
      </c>
      <c r="H34" s="3">
        <v>4656</v>
      </c>
      <c r="I34" s="3">
        <v>4621</v>
      </c>
      <c r="J34" s="3">
        <v>35</v>
      </c>
      <c r="K34" s="4">
        <f t="shared" ref="K34:K65" si="4">(D34-E34)/D34</f>
        <v>0.98124999999999996</v>
      </c>
      <c r="L34" s="4">
        <f t="shared" ref="L34:L65" si="5">H34/((D34-E34)*G34)</f>
        <v>0.98853503184713376</v>
      </c>
      <c r="M34" s="4">
        <f t="shared" ref="M34:M65" si="6">I34/H34</f>
        <v>0.99248281786941583</v>
      </c>
      <c r="N34" s="4">
        <f t="shared" ref="N34:N65" si="7">K34*L34*M34</f>
        <v>0.96270833333333339</v>
      </c>
    </row>
    <row r="35" spans="1:14" x14ac:dyDescent="0.25">
      <c r="A35" s="5" t="s">
        <v>38</v>
      </c>
      <c r="B35" s="5" t="s">
        <v>15</v>
      </c>
      <c r="C35" s="5" t="s">
        <v>16</v>
      </c>
      <c r="D35" s="6">
        <v>480</v>
      </c>
      <c r="E35" s="6">
        <v>19</v>
      </c>
      <c r="F35" s="5" t="s">
        <v>33</v>
      </c>
      <c r="G35" s="6">
        <v>10</v>
      </c>
      <c r="H35" s="6">
        <v>4536</v>
      </c>
      <c r="I35" s="6">
        <v>4508</v>
      </c>
      <c r="J35" s="6">
        <v>28</v>
      </c>
      <c r="K35" s="7">
        <f t="shared" si="4"/>
        <v>0.9604166666666667</v>
      </c>
      <c r="L35" s="7">
        <f t="shared" si="5"/>
        <v>0.98394793926247293</v>
      </c>
      <c r="M35" s="7">
        <f t="shared" si="6"/>
        <v>0.99382716049382713</v>
      </c>
      <c r="N35" s="7">
        <f t="shared" si="7"/>
        <v>0.93916666666666671</v>
      </c>
    </row>
    <row r="36" spans="1:14" x14ac:dyDescent="0.25">
      <c r="A36" s="2" t="s">
        <v>38</v>
      </c>
      <c r="B36" s="2" t="s">
        <v>18</v>
      </c>
      <c r="C36" s="2" t="s">
        <v>16</v>
      </c>
      <c r="D36" s="3">
        <v>480</v>
      </c>
      <c r="E36" s="3">
        <v>113</v>
      </c>
      <c r="F36" s="2" t="s">
        <v>31</v>
      </c>
      <c r="G36" s="3">
        <v>10</v>
      </c>
      <c r="H36" s="3">
        <v>3492</v>
      </c>
      <c r="I36" s="3">
        <v>3341</v>
      </c>
      <c r="J36" s="3">
        <v>151</v>
      </c>
      <c r="K36" s="4">
        <f t="shared" si="4"/>
        <v>0.76458333333333328</v>
      </c>
      <c r="L36" s="4">
        <f t="shared" si="5"/>
        <v>0.95149863760217979</v>
      </c>
      <c r="M36" s="4">
        <f t="shared" si="6"/>
        <v>0.95675830469644907</v>
      </c>
      <c r="N36" s="4">
        <f t="shared" si="7"/>
        <v>0.69604166666666667</v>
      </c>
    </row>
    <row r="37" spans="1:14" x14ac:dyDescent="0.25">
      <c r="A37" s="5" t="s">
        <v>38</v>
      </c>
      <c r="B37" s="5" t="s">
        <v>20</v>
      </c>
      <c r="C37" s="5" t="s">
        <v>16</v>
      </c>
      <c r="D37" s="6">
        <v>480</v>
      </c>
      <c r="E37" s="6">
        <v>9</v>
      </c>
      <c r="F37" s="5" t="s">
        <v>21</v>
      </c>
      <c r="G37" s="6">
        <v>10</v>
      </c>
      <c r="H37" s="6">
        <v>4649</v>
      </c>
      <c r="I37" s="6">
        <v>4567</v>
      </c>
      <c r="J37" s="6">
        <v>82</v>
      </c>
      <c r="K37" s="7">
        <f t="shared" si="4"/>
        <v>0.98124999999999996</v>
      </c>
      <c r="L37" s="7">
        <f t="shared" si="5"/>
        <v>0.98704883227176221</v>
      </c>
      <c r="M37" s="7">
        <f t="shared" si="6"/>
        <v>0.98236179823617986</v>
      </c>
      <c r="N37" s="7">
        <f t="shared" si="7"/>
        <v>0.95145833333333329</v>
      </c>
    </row>
    <row r="38" spans="1:14" x14ac:dyDescent="0.25">
      <c r="A38" s="2" t="s">
        <v>39</v>
      </c>
      <c r="B38" s="2" t="s">
        <v>15</v>
      </c>
      <c r="C38" s="2" t="s">
        <v>16</v>
      </c>
      <c r="D38" s="3">
        <v>480</v>
      </c>
      <c r="E38" s="3">
        <v>9</v>
      </c>
      <c r="F38" s="2" t="s">
        <v>21</v>
      </c>
      <c r="G38" s="3">
        <v>10</v>
      </c>
      <c r="H38" s="3">
        <v>4474</v>
      </c>
      <c r="I38" s="3">
        <v>4415</v>
      </c>
      <c r="J38" s="3">
        <v>59</v>
      </c>
      <c r="K38" s="4">
        <f t="shared" si="4"/>
        <v>0.98124999999999996</v>
      </c>
      <c r="L38" s="4">
        <f t="shared" si="5"/>
        <v>0.94989384288747347</v>
      </c>
      <c r="M38" s="4">
        <f t="shared" si="6"/>
        <v>0.98681269557443008</v>
      </c>
      <c r="N38" s="4">
        <f t="shared" si="7"/>
        <v>0.91979166666666667</v>
      </c>
    </row>
    <row r="39" spans="1:14" x14ac:dyDescent="0.25">
      <c r="A39" s="5" t="s">
        <v>39</v>
      </c>
      <c r="B39" s="5" t="s">
        <v>18</v>
      </c>
      <c r="C39" s="5" t="s">
        <v>16</v>
      </c>
      <c r="D39" s="6">
        <v>480</v>
      </c>
      <c r="E39" s="6">
        <v>99</v>
      </c>
      <c r="F39" s="5" t="s">
        <v>31</v>
      </c>
      <c r="G39" s="6">
        <v>10</v>
      </c>
      <c r="H39" s="6">
        <v>3667</v>
      </c>
      <c r="I39" s="6">
        <v>3553</v>
      </c>
      <c r="J39" s="6">
        <v>114</v>
      </c>
      <c r="K39" s="7">
        <f t="shared" si="4"/>
        <v>0.79374999999999996</v>
      </c>
      <c r="L39" s="7">
        <f t="shared" si="5"/>
        <v>0.96246719160104988</v>
      </c>
      <c r="M39" s="7">
        <f t="shared" si="6"/>
        <v>0.9689119170984456</v>
      </c>
      <c r="N39" s="7">
        <f t="shared" si="7"/>
        <v>0.74020833333333325</v>
      </c>
    </row>
    <row r="40" spans="1:14" x14ac:dyDescent="0.25">
      <c r="A40" s="2" t="s">
        <v>39</v>
      </c>
      <c r="B40" s="2" t="s">
        <v>20</v>
      </c>
      <c r="C40" s="2" t="s">
        <v>16</v>
      </c>
      <c r="D40" s="3">
        <v>480</v>
      </c>
      <c r="E40" s="3">
        <v>15</v>
      </c>
      <c r="F40" s="2" t="s">
        <v>21</v>
      </c>
      <c r="G40" s="3">
        <v>10</v>
      </c>
      <c r="H40" s="3">
        <v>4582</v>
      </c>
      <c r="I40" s="3">
        <v>4523</v>
      </c>
      <c r="J40" s="3">
        <v>59</v>
      </c>
      <c r="K40" s="4">
        <f t="shared" si="4"/>
        <v>0.96875</v>
      </c>
      <c r="L40" s="4">
        <f t="shared" si="5"/>
        <v>0.98537634408602148</v>
      </c>
      <c r="M40" s="4">
        <f t="shared" si="6"/>
        <v>0.98712352684417282</v>
      </c>
      <c r="N40" s="4">
        <f t="shared" si="7"/>
        <v>0.94229166666666664</v>
      </c>
    </row>
    <row r="41" spans="1:14" x14ac:dyDescent="0.25">
      <c r="A41" s="5" t="s">
        <v>40</v>
      </c>
      <c r="B41" s="5" t="s">
        <v>15</v>
      </c>
      <c r="C41" s="5" t="s">
        <v>16</v>
      </c>
      <c r="D41" s="6">
        <v>480</v>
      </c>
      <c r="E41" s="6">
        <v>12</v>
      </c>
      <c r="F41" s="5" t="s">
        <v>21</v>
      </c>
      <c r="G41" s="6">
        <v>10</v>
      </c>
      <c r="H41" s="6">
        <v>4570</v>
      </c>
      <c r="I41" s="6">
        <v>4516</v>
      </c>
      <c r="J41" s="6">
        <v>54</v>
      </c>
      <c r="K41" s="7">
        <f t="shared" si="4"/>
        <v>0.97499999999999998</v>
      </c>
      <c r="L41" s="7">
        <f t="shared" si="5"/>
        <v>0.97649572649572647</v>
      </c>
      <c r="M41" s="7">
        <f t="shared" si="6"/>
        <v>0.98818380743982492</v>
      </c>
      <c r="N41" s="7">
        <f t="shared" si="7"/>
        <v>0.9408333333333333</v>
      </c>
    </row>
    <row r="42" spans="1:14" x14ac:dyDescent="0.25">
      <c r="A42" s="2" t="s">
        <v>40</v>
      </c>
      <c r="B42" s="2" t="s">
        <v>18</v>
      </c>
      <c r="C42" s="2" t="s">
        <v>16</v>
      </c>
      <c r="D42" s="3">
        <v>480</v>
      </c>
      <c r="E42" s="3">
        <v>70</v>
      </c>
      <c r="F42" s="2" t="s">
        <v>19</v>
      </c>
      <c r="G42" s="3">
        <v>10</v>
      </c>
      <c r="H42" s="3">
        <v>3718</v>
      </c>
      <c r="I42" s="3">
        <v>3593</v>
      </c>
      <c r="J42" s="3">
        <v>125</v>
      </c>
      <c r="K42" s="4">
        <f t="shared" si="4"/>
        <v>0.85416666666666663</v>
      </c>
      <c r="L42" s="4">
        <f t="shared" si="5"/>
        <v>0.90682926829268296</v>
      </c>
      <c r="M42" s="4">
        <f t="shared" si="6"/>
        <v>0.96637977407208175</v>
      </c>
      <c r="N42" s="4">
        <f t="shared" si="7"/>
        <v>0.74854166666666666</v>
      </c>
    </row>
    <row r="43" spans="1:14" x14ac:dyDescent="0.25">
      <c r="A43" s="5" t="s">
        <v>40</v>
      </c>
      <c r="B43" s="5" t="s">
        <v>20</v>
      </c>
      <c r="C43" s="5" t="s">
        <v>16</v>
      </c>
      <c r="D43" s="6">
        <v>480</v>
      </c>
      <c r="E43" s="6">
        <v>13</v>
      </c>
      <c r="F43" s="5" t="s">
        <v>21</v>
      </c>
      <c r="G43" s="6">
        <v>10</v>
      </c>
      <c r="H43" s="6">
        <v>4506</v>
      </c>
      <c r="I43" s="6">
        <v>4424</v>
      </c>
      <c r="J43" s="6">
        <v>82</v>
      </c>
      <c r="K43" s="7">
        <f t="shared" si="4"/>
        <v>0.97291666666666665</v>
      </c>
      <c r="L43" s="7">
        <f t="shared" si="5"/>
        <v>0.96488222698072801</v>
      </c>
      <c r="M43" s="7">
        <f t="shared" si="6"/>
        <v>0.98180204172214824</v>
      </c>
      <c r="N43" s="7">
        <f t="shared" si="7"/>
        <v>0.92166666666666663</v>
      </c>
    </row>
    <row r="44" spans="1:14" x14ac:dyDescent="0.25">
      <c r="A44" s="2" t="s">
        <v>41</v>
      </c>
      <c r="B44" s="2" t="s">
        <v>15</v>
      </c>
      <c r="C44" s="2" t="s">
        <v>16</v>
      </c>
      <c r="D44" s="3">
        <v>480</v>
      </c>
      <c r="E44" s="3">
        <v>3</v>
      </c>
      <c r="F44" s="2" t="s">
        <v>21</v>
      </c>
      <c r="G44" s="3">
        <v>10</v>
      </c>
      <c r="H44" s="3">
        <v>4671</v>
      </c>
      <c r="I44" s="3">
        <v>4580</v>
      </c>
      <c r="J44" s="3">
        <v>91</v>
      </c>
      <c r="K44" s="4">
        <f t="shared" si="4"/>
        <v>0.99375000000000002</v>
      </c>
      <c r="L44" s="4">
        <f t="shared" si="5"/>
        <v>0.97924528301886793</v>
      </c>
      <c r="M44" s="4">
        <f t="shared" si="6"/>
        <v>0.98051809034467996</v>
      </c>
      <c r="N44" s="4">
        <f t="shared" si="7"/>
        <v>0.95416666666666672</v>
      </c>
    </row>
    <row r="45" spans="1:14" x14ac:dyDescent="0.25">
      <c r="A45" s="5" t="s">
        <v>41</v>
      </c>
      <c r="B45" s="5" t="s">
        <v>18</v>
      </c>
      <c r="C45" s="5" t="s">
        <v>16</v>
      </c>
      <c r="D45" s="6">
        <v>480</v>
      </c>
      <c r="E45" s="6">
        <v>54</v>
      </c>
      <c r="F45" s="5" t="s">
        <v>28</v>
      </c>
      <c r="G45" s="6">
        <v>10</v>
      </c>
      <c r="H45" s="6">
        <v>4165</v>
      </c>
      <c r="I45" s="6">
        <v>4033</v>
      </c>
      <c r="J45" s="6">
        <v>132</v>
      </c>
      <c r="K45" s="7">
        <f t="shared" si="4"/>
        <v>0.88749999999999996</v>
      </c>
      <c r="L45" s="7">
        <f t="shared" si="5"/>
        <v>0.97769953051643188</v>
      </c>
      <c r="M45" s="7">
        <f t="shared" si="6"/>
        <v>0.96830732292917165</v>
      </c>
      <c r="N45" s="7">
        <f t="shared" si="7"/>
        <v>0.84020833333333333</v>
      </c>
    </row>
    <row r="46" spans="1:14" x14ac:dyDescent="0.25">
      <c r="A46" s="2" t="s">
        <v>41</v>
      </c>
      <c r="B46" s="2" t="s">
        <v>20</v>
      </c>
      <c r="C46" s="2" t="s">
        <v>16</v>
      </c>
      <c r="D46" s="3">
        <v>480</v>
      </c>
      <c r="E46" s="3">
        <v>6</v>
      </c>
      <c r="F46" s="2" t="s">
        <v>21</v>
      </c>
      <c r="G46" s="3">
        <v>10</v>
      </c>
      <c r="H46" s="3">
        <v>4492</v>
      </c>
      <c r="I46" s="3">
        <v>4466</v>
      </c>
      <c r="J46" s="3">
        <v>26</v>
      </c>
      <c r="K46" s="4">
        <f t="shared" si="4"/>
        <v>0.98750000000000004</v>
      </c>
      <c r="L46" s="4">
        <f t="shared" si="5"/>
        <v>0.94767932489451479</v>
      </c>
      <c r="M46" s="4">
        <f t="shared" si="6"/>
        <v>0.99421193232413174</v>
      </c>
      <c r="N46" s="4">
        <f t="shared" si="7"/>
        <v>0.93041666666666667</v>
      </c>
    </row>
    <row r="47" spans="1:14" x14ac:dyDescent="0.25">
      <c r="A47" s="5" t="s">
        <v>42</v>
      </c>
      <c r="B47" s="5" t="s">
        <v>15</v>
      </c>
      <c r="C47" s="5" t="s">
        <v>16</v>
      </c>
      <c r="D47" s="6">
        <v>480</v>
      </c>
      <c r="E47" s="6">
        <v>2</v>
      </c>
      <c r="F47" s="5" t="s">
        <v>21</v>
      </c>
      <c r="G47" s="6">
        <v>10</v>
      </c>
      <c r="H47" s="6">
        <v>4584</v>
      </c>
      <c r="I47" s="6">
        <v>4492</v>
      </c>
      <c r="J47" s="6">
        <v>92</v>
      </c>
      <c r="K47" s="7">
        <f t="shared" si="4"/>
        <v>0.99583333333333335</v>
      </c>
      <c r="L47" s="7">
        <f t="shared" si="5"/>
        <v>0.95899581589958161</v>
      </c>
      <c r="M47" s="7">
        <f t="shared" si="6"/>
        <v>0.97993019197207676</v>
      </c>
      <c r="N47" s="7">
        <f t="shared" si="7"/>
        <v>0.93583333333333341</v>
      </c>
    </row>
    <row r="48" spans="1:14" x14ac:dyDescent="0.25">
      <c r="A48" s="2" t="s">
        <v>42</v>
      </c>
      <c r="B48" s="2" t="s">
        <v>18</v>
      </c>
      <c r="C48" s="2" t="s">
        <v>16</v>
      </c>
      <c r="D48" s="3">
        <v>480</v>
      </c>
      <c r="E48" s="3">
        <v>51</v>
      </c>
      <c r="F48" s="2" t="s">
        <v>28</v>
      </c>
      <c r="G48" s="3">
        <v>10</v>
      </c>
      <c r="H48" s="3">
        <v>4096</v>
      </c>
      <c r="I48" s="3">
        <v>3961</v>
      </c>
      <c r="J48" s="3">
        <v>135</v>
      </c>
      <c r="K48" s="4">
        <f t="shared" si="4"/>
        <v>0.89375000000000004</v>
      </c>
      <c r="L48" s="4">
        <f t="shared" si="5"/>
        <v>0.95477855477855478</v>
      </c>
      <c r="M48" s="4">
        <f t="shared" si="6"/>
        <v>0.967041015625</v>
      </c>
      <c r="N48" s="4">
        <f t="shared" si="7"/>
        <v>0.82520833333333343</v>
      </c>
    </row>
    <row r="49" spans="1:14" x14ac:dyDescent="0.25">
      <c r="A49" s="5" t="s">
        <v>42</v>
      </c>
      <c r="B49" s="5" t="s">
        <v>20</v>
      </c>
      <c r="C49" s="5" t="s">
        <v>16</v>
      </c>
      <c r="D49" s="6">
        <v>480</v>
      </c>
      <c r="E49" s="6">
        <v>52</v>
      </c>
      <c r="F49" s="5" t="s">
        <v>24</v>
      </c>
      <c r="G49" s="6">
        <v>10</v>
      </c>
      <c r="H49" s="6">
        <v>4082</v>
      </c>
      <c r="I49" s="6">
        <v>4045</v>
      </c>
      <c r="J49" s="6">
        <v>37</v>
      </c>
      <c r="K49" s="7">
        <f t="shared" si="4"/>
        <v>0.89166666666666672</v>
      </c>
      <c r="L49" s="7">
        <f t="shared" si="5"/>
        <v>0.95373831775700935</v>
      </c>
      <c r="M49" s="7">
        <f t="shared" si="6"/>
        <v>0.99093581577658008</v>
      </c>
      <c r="N49" s="7">
        <f t="shared" si="7"/>
        <v>0.84270833333333339</v>
      </c>
    </row>
    <row r="50" spans="1:14" x14ac:dyDescent="0.25">
      <c r="A50" s="2" t="s">
        <v>43</v>
      </c>
      <c r="B50" s="2" t="s">
        <v>15</v>
      </c>
      <c r="C50" s="2" t="s">
        <v>16</v>
      </c>
      <c r="D50" s="3">
        <v>480</v>
      </c>
      <c r="E50" s="3">
        <v>48</v>
      </c>
      <c r="F50" s="2" t="s">
        <v>33</v>
      </c>
      <c r="G50" s="3">
        <v>10</v>
      </c>
      <c r="H50" s="3">
        <v>4228</v>
      </c>
      <c r="I50" s="3">
        <v>4167</v>
      </c>
      <c r="J50" s="3">
        <v>61</v>
      </c>
      <c r="K50" s="4">
        <f t="shared" si="4"/>
        <v>0.9</v>
      </c>
      <c r="L50" s="4">
        <f t="shared" si="5"/>
        <v>0.97870370370370374</v>
      </c>
      <c r="M50" s="4">
        <f t="shared" si="6"/>
        <v>0.98557237464522229</v>
      </c>
      <c r="N50" s="4">
        <f t="shared" si="7"/>
        <v>0.86812500000000004</v>
      </c>
    </row>
    <row r="51" spans="1:14" x14ac:dyDescent="0.25">
      <c r="A51" s="5" t="s">
        <v>43</v>
      </c>
      <c r="B51" s="5" t="s">
        <v>18</v>
      </c>
      <c r="C51" s="5" t="s">
        <v>16</v>
      </c>
      <c r="D51" s="6">
        <v>480</v>
      </c>
      <c r="E51" s="6">
        <v>74</v>
      </c>
      <c r="F51" s="5" t="s">
        <v>31</v>
      </c>
      <c r="G51" s="6">
        <v>10</v>
      </c>
      <c r="H51" s="6">
        <v>3653</v>
      </c>
      <c r="I51" s="6">
        <v>3526</v>
      </c>
      <c r="J51" s="6">
        <v>127</v>
      </c>
      <c r="K51" s="7">
        <f t="shared" si="4"/>
        <v>0.84583333333333333</v>
      </c>
      <c r="L51" s="7">
        <f t="shared" si="5"/>
        <v>0.89975369458128074</v>
      </c>
      <c r="M51" s="7">
        <f t="shared" si="6"/>
        <v>0.96523405420202568</v>
      </c>
      <c r="N51" s="7">
        <f t="shared" si="7"/>
        <v>0.73458333333333325</v>
      </c>
    </row>
    <row r="52" spans="1:14" x14ac:dyDescent="0.25">
      <c r="A52" s="2" t="s">
        <v>43</v>
      </c>
      <c r="B52" s="2" t="s">
        <v>20</v>
      </c>
      <c r="C52" s="2" t="s">
        <v>16</v>
      </c>
      <c r="D52" s="3">
        <v>480</v>
      </c>
      <c r="E52" s="3">
        <v>0</v>
      </c>
      <c r="F52" s="2" t="s">
        <v>21</v>
      </c>
      <c r="G52" s="3">
        <v>10</v>
      </c>
      <c r="H52" s="3">
        <v>4751</v>
      </c>
      <c r="I52" s="3">
        <v>4686</v>
      </c>
      <c r="J52" s="3">
        <v>65</v>
      </c>
      <c r="K52" s="4">
        <f t="shared" si="4"/>
        <v>1</v>
      </c>
      <c r="L52" s="4">
        <f t="shared" si="5"/>
        <v>0.98979166666666663</v>
      </c>
      <c r="M52" s="4">
        <f t="shared" si="6"/>
        <v>0.98631866975373605</v>
      </c>
      <c r="N52" s="4">
        <f t="shared" si="7"/>
        <v>0.97624999999999995</v>
      </c>
    </row>
    <row r="53" spans="1:14" x14ac:dyDescent="0.25">
      <c r="A53" s="5" t="s">
        <v>44</v>
      </c>
      <c r="B53" s="5" t="s">
        <v>15</v>
      </c>
      <c r="C53" s="5" t="s">
        <v>16</v>
      </c>
      <c r="D53" s="6">
        <v>480</v>
      </c>
      <c r="E53" s="6">
        <v>38</v>
      </c>
      <c r="F53" s="5" t="s">
        <v>33</v>
      </c>
      <c r="G53" s="6">
        <v>10</v>
      </c>
      <c r="H53" s="6">
        <v>4238</v>
      </c>
      <c r="I53" s="6">
        <v>4177</v>
      </c>
      <c r="J53" s="6">
        <v>61</v>
      </c>
      <c r="K53" s="7">
        <f t="shared" si="4"/>
        <v>0.92083333333333328</v>
      </c>
      <c r="L53" s="7">
        <f t="shared" si="5"/>
        <v>0.95882352941176474</v>
      </c>
      <c r="M53" s="7">
        <f t="shared" si="6"/>
        <v>0.98560641812175553</v>
      </c>
      <c r="N53" s="7">
        <f t="shared" si="7"/>
        <v>0.87020833333333336</v>
      </c>
    </row>
    <row r="54" spans="1:14" x14ac:dyDescent="0.25">
      <c r="A54" s="2" t="s">
        <v>44</v>
      </c>
      <c r="B54" s="2" t="s">
        <v>18</v>
      </c>
      <c r="C54" s="2" t="s">
        <v>16</v>
      </c>
      <c r="D54" s="3">
        <v>480</v>
      </c>
      <c r="E54" s="3">
        <v>123</v>
      </c>
      <c r="F54" s="2" t="s">
        <v>19</v>
      </c>
      <c r="G54" s="3">
        <v>10</v>
      </c>
      <c r="H54" s="3">
        <v>3379</v>
      </c>
      <c r="I54" s="3">
        <v>3274</v>
      </c>
      <c r="J54" s="3">
        <v>105</v>
      </c>
      <c r="K54" s="4">
        <f t="shared" si="4"/>
        <v>0.74375000000000002</v>
      </c>
      <c r="L54" s="4">
        <f t="shared" si="5"/>
        <v>0.94649859943977588</v>
      </c>
      <c r="M54" s="4">
        <f t="shared" si="6"/>
        <v>0.9689257176679491</v>
      </c>
      <c r="N54" s="4">
        <f t="shared" si="7"/>
        <v>0.68208333333333337</v>
      </c>
    </row>
    <row r="55" spans="1:14" x14ac:dyDescent="0.25">
      <c r="A55" s="5" t="s">
        <v>44</v>
      </c>
      <c r="B55" s="5" t="s">
        <v>20</v>
      </c>
      <c r="C55" s="5" t="s">
        <v>16</v>
      </c>
      <c r="D55" s="6">
        <v>480</v>
      </c>
      <c r="E55" s="6">
        <v>8</v>
      </c>
      <c r="F55" s="5" t="s">
        <v>21</v>
      </c>
      <c r="G55" s="6">
        <v>10</v>
      </c>
      <c r="H55" s="6">
        <v>4587</v>
      </c>
      <c r="I55" s="6">
        <v>4506</v>
      </c>
      <c r="J55" s="6">
        <v>81</v>
      </c>
      <c r="K55" s="7">
        <f t="shared" si="4"/>
        <v>0.98333333333333328</v>
      </c>
      <c r="L55" s="7">
        <f t="shared" si="5"/>
        <v>0.97182203389830513</v>
      </c>
      <c r="M55" s="7">
        <f t="shared" si="6"/>
        <v>0.98234139960758671</v>
      </c>
      <c r="N55" s="7">
        <f t="shared" si="7"/>
        <v>0.93874999999999997</v>
      </c>
    </row>
    <row r="56" spans="1:14" x14ac:dyDescent="0.25">
      <c r="A56" s="2" t="s">
        <v>45</v>
      </c>
      <c r="B56" s="2" t="s">
        <v>15</v>
      </c>
      <c r="C56" s="2" t="s">
        <v>16</v>
      </c>
      <c r="D56" s="3">
        <v>480</v>
      </c>
      <c r="E56" s="3">
        <v>48</v>
      </c>
      <c r="F56" s="2" t="s">
        <v>17</v>
      </c>
      <c r="G56" s="3">
        <v>10</v>
      </c>
      <c r="H56" s="3">
        <v>4154</v>
      </c>
      <c r="I56" s="3">
        <v>4081</v>
      </c>
      <c r="J56" s="3">
        <v>73</v>
      </c>
      <c r="K56" s="4">
        <f t="shared" si="4"/>
        <v>0.9</v>
      </c>
      <c r="L56" s="4">
        <f t="shared" si="5"/>
        <v>0.96157407407407403</v>
      </c>
      <c r="M56" s="4">
        <f t="shared" si="6"/>
        <v>0.98242657679345213</v>
      </c>
      <c r="N56" s="4">
        <f t="shared" si="7"/>
        <v>0.85020833333333334</v>
      </c>
    </row>
    <row r="57" spans="1:14" x14ac:dyDescent="0.25">
      <c r="A57" s="5" t="s">
        <v>45</v>
      </c>
      <c r="B57" s="5" t="s">
        <v>18</v>
      </c>
      <c r="C57" s="5" t="s">
        <v>16</v>
      </c>
      <c r="D57" s="6">
        <v>480</v>
      </c>
      <c r="E57" s="6">
        <v>51</v>
      </c>
      <c r="F57" s="5" t="s">
        <v>23</v>
      </c>
      <c r="G57" s="6">
        <v>10</v>
      </c>
      <c r="H57" s="6">
        <v>3782</v>
      </c>
      <c r="I57" s="6">
        <v>3654</v>
      </c>
      <c r="J57" s="6">
        <v>128</v>
      </c>
      <c r="K57" s="7">
        <f t="shared" si="4"/>
        <v>0.89375000000000004</v>
      </c>
      <c r="L57" s="7">
        <f t="shared" si="5"/>
        <v>0.88158508158508153</v>
      </c>
      <c r="M57" s="7">
        <f t="shared" si="6"/>
        <v>0.96615547329455309</v>
      </c>
      <c r="N57" s="7">
        <f t="shared" si="7"/>
        <v>0.76124999999999998</v>
      </c>
    </row>
    <row r="58" spans="1:14" x14ac:dyDescent="0.25">
      <c r="A58" s="2" t="s">
        <v>45</v>
      </c>
      <c r="B58" s="2" t="s">
        <v>20</v>
      </c>
      <c r="C58" s="2" t="s">
        <v>16</v>
      </c>
      <c r="D58" s="3">
        <v>480</v>
      </c>
      <c r="E58" s="3">
        <v>11</v>
      </c>
      <c r="F58" s="2" t="s">
        <v>21</v>
      </c>
      <c r="G58" s="3">
        <v>10</v>
      </c>
      <c r="H58" s="3">
        <v>4477</v>
      </c>
      <c r="I58" s="3">
        <v>4431</v>
      </c>
      <c r="J58" s="3">
        <v>46</v>
      </c>
      <c r="K58" s="4">
        <f t="shared" si="4"/>
        <v>0.9770833333333333</v>
      </c>
      <c r="L58" s="4">
        <f t="shared" si="5"/>
        <v>0.95458422174840085</v>
      </c>
      <c r="M58" s="4">
        <f t="shared" si="6"/>
        <v>0.98972526245253523</v>
      </c>
      <c r="N58" s="4">
        <f t="shared" si="7"/>
        <v>0.92312499999999997</v>
      </c>
    </row>
    <row r="59" spans="1:14" x14ac:dyDescent="0.25">
      <c r="A59" s="5" t="s">
        <v>46</v>
      </c>
      <c r="B59" s="5" t="s">
        <v>15</v>
      </c>
      <c r="C59" s="5" t="s">
        <v>16</v>
      </c>
      <c r="D59" s="6">
        <v>480</v>
      </c>
      <c r="E59" s="6">
        <v>55</v>
      </c>
      <c r="F59" s="5" t="s">
        <v>17</v>
      </c>
      <c r="G59" s="6">
        <v>10</v>
      </c>
      <c r="H59" s="6">
        <v>4074</v>
      </c>
      <c r="I59" s="6">
        <v>4004</v>
      </c>
      <c r="J59" s="6">
        <v>70</v>
      </c>
      <c r="K59" s="7">
        <f t="shared" si="4"/>
        <v>0.88541666666666663</v>
      </c>
      <c r="L59" s="7">
        <f t="shared" si="5"/>
        <v>0.95858823529411763</v>
      </c>
      <c r="M59" s="7">
        <f t="shared" si="6"/>
        <v>0.98281786941580751</v>
      </c>
      <c r="N59" s="7">
        <f t="shared" si="7"/>
        <v>0.83416666666666661</v>
      </c>
    </row>
    <row r="60" spans="1:14" x14ac:dyDescent="0.25">
      <c r="A60" s="2" t="s">
        <v>46</v>
      </c>
      <c r="B60" s="2" t="s">
        <v>18</v>
      </c>
      <c r="C60" s="2" t="s">
        <v>16</v>
      </c>
      <c r="D60" s="3">
        <v>480</v>
      </c>
      <c r="E60" s="3">
        <v>126</v>
      </c>
      <c r="F60" s="2" t="s">
        <v>19</v>
      </c>
      <c r="G60" s="3">
        <v>10</v>
      </c>
      <c r="H60" s="3">
        <v>3450</v>
      </c>
      <c r="I60" s="3">
        <v>3308</v>
      </c>
      <c r="J60" s="3">
        <v>142</v>
      </c>
      <c r="K60" s="4">
        <f t="shared" si="4"/>
        <v>0.73750000000000004</v>
      </c>
      <c r="L60" s="4">
        <f t="shared" si="5"/>
        <v>0.97457627118644063</v>
      </c>
      <c r="M60" s="4">
        <f t="shared" si="6"/>
        <v>0.95884057971014491</v>
      </c>
      <c r="N60" s="4">
        <f t="shared" si="7"/>
        <v>0.68916666666666671</v>
      </c>
    </row>
    <row r="61" spans="1:14" x14ac:dyDescent="0.25">
      <c r="A61" s="5" t="s">
        <v>46</v>
      </c>
      <c r="B61" s="5" t="s">
        <v>20</v>
      </c>
      <c r="C61" s="5" t="s">
        <v>16</v>
      </c>
      <c r="D61" s="6">
        <v>480</v>
      </c>
      <c r="E61" s="6">
        <v>11</v>
      </c>
      <c r="F61" s="5" t="s">
        <v>21</v>
      </c>
      <c r="G61" s="6">
        <v>10</v>
      </c>
      <c r="H61" s="6">
        <v>4597</v>
      </c>
      <c r="I61" s="6">
        <v>4572</v>
      </c>
      <c r="J61" s="6">
        <v>25</v>
      </c>
      <c r="K61" s="7">
        <f t="shared" si="4"/>
        <v>0.9770833333333333</v>
      </c>
      <c r="L61" s="7">
        <f t="shared" si="5"/>
        <v>0.98017057569296373</v>
      </c>
      <c r="M61" s="7">
        <f t="shared" si="6"/>
        <v>0.99456167065477485</v>
      </c>
      <c r="N61" s="7">
        <f t="shared" si="7"/>
        <v>0.9524999999999999</v>
      </c>
    </row>
    <row r="62" spans="1:14" x14ac:dyDescent="0.25">
      <c r="A62" s="2" t="s">
        <v>47</v>
      </c>
      <c r="B62" s="2" t="s">
        <v>15</v>
      </c>
      <c r="C62" s="2" t="s">
        <v>16</v>
      </c>
      <c r="D62" s="3">
        <v>480</v>
      </c>
      <c r="E62" s="3">
        <v>30</v>
      </c>
      <c r="F62" s="2" t="s">
        <v>17</v>
      </c>
      <c r="G62" s="3">
        <v>10</v>
      </c>
      <c r="H62" s="3">
        <v>4424</v>
      </c>
      <c r="I62" s="3">
        <v>4338</v>
      </c>
      <c r="J62" s="3">
        <v>86</v>
      </c>
      <c r="K62" s="4">
        <f t="shared" si="4"/>
        <v>0.9375</v>
      </c>
      <c r="L62" s="4">
        <f t="shared" si="5"/>
        <v>0.98311111111111116</v>
      </c>
      <c r="M62" s="4">
        <f t="shared" si="6"/>
        <v>0.98056057866184454</v>
      </c>
      <c r="N62" s="4">
        <f t="shared" si="7"/>
        <v>0.90375000000000016</v>
      </c>
    </row>
    <row r="63" spans="1:14" x14ac:dyDescent="0.25">
      <c r="A63" s="5" t="s">
        <v>47</v>
      </c>
      <c r="B63" s="5" t="s">
        <v>18</v>
      </c>
      <c r="C63" s="5" t="s">
        <v>16</v>
      </c>
      <c r="D63" s="6">
        <v>480</v>
      </c>
      <c r="E63" s="6">
        <v>49</v>
      </c>
      <c r="F63" s="5" t="s">
        <v>23</v>
      </c>
      <c r="G63" s="6">
        <v>10</v>
      </c>
      <c r="H63" s="6">
        <v>4095</v>
      </c>
      <c r="I63" s="6">
        <v>3927</v>
      </c>
      <c r="J63" s="6">
        <v>168</v>
      </c>
      <c r="K63" s="7">
        <f t="shared" si="4"/>
        <v>0.8979166666666667</v>
      </c>
      <c r="L63" s="7">
        <f t="shared" si="5"/>
        <v>0.95011600928074247</v>
      </c>
      <c r="M63" s="7">
        <f t="shared" si="6"/>
        <v>0.95897435897435901</v>
      </c>
      <c r="N63" s="7">
        <f t="shared" si="7"/>
        <v>0.8181250000000001</v>
      </c>
    </row>
    <row r="64" spans="1:14" x14ac:dyDescent="0.25">
      <c r="A64" s="2" t="s">
        <v>47</v>
      </c>
      <c r="B64" s="2" t="s">
        <v>20</v>
      </c>
      <c r="C64" s="2" t="s">
        <v>16</v>
      </c>
      <c r="D64" s="3">
        <v>480</v>
      </c>
      <c r="E64" s="3">
        <v>5</v>
      </c>
      <c r="F64" s="2" t="s">
        <v>21</v>
      </c>
      <c r="G64" s="3">
        <v>10</v>
      </c>
      <c r="H64" s="3">
        <v>4594</v>
      </c>
      <c r="I64" s="3">
        <v>4560</v>
      </c>
      <c r="J64" s="3">
        <v>34</v>
      </c>
      <c r="K64" s="4">
        <f t="shared" si="4"/>
        <v>0.98958333333333337</v>
      </c>
      <c r="L64" s="4">
        <f t="shared" si="5"/>
        <v>0.96715789473684211</v>
      </c>
      <c r="M64" s="4">
        <f t="shared" si="6"/>
        <v>0.99259904222899431</v>
      </c>
      <c r="N64" s="4">
        <f t="shared" si="7"/>
        <v>0.95000000000000007</v>
      </c>
    </row>
    <row r="65" spans="1:14" x14ac:dyDescent="0.25">
      <c r="A65" s="5" t="s">
        <v>48</v>
      </c>
      <c r="B65" s="5" t="s">
        <v>15</v>
      </c>
      <c r="C65" s="5" t="s">
        <v>16</v>
      </c>
      <c r="D65" s="6">
        <v>480</v>
      </c>
      <c r="E65" s="6">
        <v>29</v>
      </c>
      <c r="F65" s="5" t="s">
        <v>17</v>
      </c>
      <c r="G65" s="6">
        <v>10</v>
      </c>
      <c r="H65" s="6">
        <v>4393</v>
      </c>
      <c r="I65" s="6">
        <v>4306</v>
      </c>
      <c r="J65" s="6">
        <v>87</v>
      </c>
      <c r="K65" s="7">
        <f t="shared" si="4"/>
        <v>0.93958333333333333</v>
      </c>
      <c r="L65" s="7">
        <f t="shared" si="5"/>
        <v>0.97405764966740571</v>
      </c>
      <c r="M65" s="7">
        <f t="shared" si="6"/>
        <v>0.98019576599134983</v>
      </c>
      <c r="N65" s="7">
        <f t="shared" si="7"/>
        <v>0.89708333333333323</v>
      </c>
    </row>
    <row r="66" spans="1:14" x14ac:dyDescent="0.25">
      <c r="A66" s="2" t="s">
        <v>48</v>
      </c>
      <c r="B66" s="2" t="s">
        <v>18</v>
      </c>
      <c r="C66" s="2" t="s">
        <v>16</v>
      </c>
      <c r="D66" s="3">
        <v>480</v>
      </c>
      <c r="E66" s="3">
        <v>102</v>
      </c>
      <c r="F66" s="2" t="s">
        <v>31</v>
      </c>
      <c r="G66" s="3">
        <v>10</v>
      </c>
      <c r="H66" s="3">
        <v>3651</v>
      </c>
      <c r="I66" s="3">
        <v>3541</v>
      </c>
      <c r="J66" s="3">
        <v>110</v>
      </c>
      <c r="K66" s="4">
        <f t="shared" ref="K66:K101" si="8">(D66-E66)/D66</f>
        <v>0.78749999999999998</v>
      </c>
      <c r="L66" s="4">
        <f t="shared" ref="L66:L101" si="9">H66/((D66-E66)*G66)</f>
        <v>0.96587301587301588</v>
      </c>
      <c r="M66" s="4">
        <f t="shared" ref="M66:M101" si="10">I66/H66</f>
        <v>0.96987126814571345</v>
      </c>
      <c r="N66" s="4">
        <f t="shared" ref="N66:N97" si="11">K66*L66*M66</f>
        <v>0.7377083333333333</v>
      </c>
    </row>
    <row r="67" spans="1:14" x14ac:dyDescent="0.25">
      <c r="A67" s="5" t="s">
        <v>48</v>
      </c>
      <c r="B67" s="5" t="s">
        <v>20</v>
      </c>
      <c r="C67" s="5" t="s">
        <v>16</v>
      </c>
      <c r="D67" s="6">
        <v>480</v>
      </c>
      <c r="E67" s="6">
        <v>13</v>
      </c>
      <c r="F67" s="5" t="s">
        <v>21</v>
      </c>
      <c r="G67" s="6">
        <v>10</v>
      </c>
      <c r="H67" s="6">
        <v>4471</v>
      </c>
      <c r="I67" s="6">
        <v>4390</v>
      </c>
      <c r="J67" s="6">
        <v>81</v>
      </c>
      <c r="K67" s="7">
        <f t="shared" si="8"/>
        <v>0.97291666666666665</v>
      </c>
      <c r="L67" s="7">
        <f t="shared" si="9"/>
        <v>0.95738758029978588</v>
      </c>
      <c r="M67" s="7">
        <f t="shared" si="10"/>
        <v>0.98188324759561618</v>
      </c>
      <c r="N67" s="7">
        <f t="shared" si="11"/>
        <v>0.9145833333333333</v>
      </c>
    </row>
    <row r="68" spans="1:14" x14ac:dyDescent="0.25">
      <c r="A68" s="2" t="s">
        <v>49</v>
      </c>
      <c r="B68" s="2" t="s">
        <v>15</v>
      </c>
      <c r="C68" s="2" t="s">
        <v>16</v>
      </c>
      <c r="D68" s="3">
        <v>480</v>
      </c>
      <c r="E68" s="3">
        <v>14</v>
      </c>
      <c r="F68" s="2" t="s">
        <v>21</v>
      </c>
      <c r="G68" s="3">
        <v>10</v>
      </c>
      <c r="H68" s="3">
        <v>4557</v>
      </c>
      <c r="I68" s="3">
        <v>4490</v>
      </c>
      <c r="J68" s="3">
        <v>67</v>
      </c>
      <c r="K68" s="4">
        <f t="shared" si="8"/>
        <v>0.97083333333333333</v>
      </c>
      <c r="L68" s="4">
        <f t="shared" si="9"/>
        <v>0.97789699570815447</v>
      </c>
      <c r="M68" s="4">
        <f t="shared" si="10"/>
        <v>0.98529734474434938</v>
      </c>
      <c r="N68" s="4">
        <f t="shared" si="11"/>
        <v>0.93541666666666667</v>
      </c>
    </row>
    <row r="69" spans="1:14" x14ac:dyDescent="0.25">
      <c r="A69" s="5" t="s">
        <v>49</v>
      </c>
      <c r="B69" s="5" t="s">
        <v>18</v>
      </c>
      <c r="C69" s="5" t="s">
        <v>16</v>
      </c>
      <c r="D69" s="6">
        <v>480</v>
      </c>
      <c r="E69" s="6">
        <v>29</v>
      </c>
      <c r="F69" s="5" t="s">
        <v>23</v>
      </c>
      <c r="G69" s="6">
        <v>10</v>
      </c>
      <c r="H69" s="6">
        <v>4324</v>
      </c>
      <c r="I69" s="6">
        <v>4172</v>
      </c>
      <c r="J69" s="6">
        <v>152</v>
      </c>
      <c r="K69" s="7">
        <f t="shared" si="8"/>
        <v>0.93958333333333333</v>
      </c>
      <c r="L69" s="7">
        <f t="shared" si="9"/>
        <v>0.95875831485587582</v>
      </c>
      <c r="M69" s="7">
        <f t="shared" si="10"/>
        <v>0.96484736355226641</v>
      </c>
      <c r="N69" s="7">
        <f t="shared" si="11"/>
        <v>0.86916666666666664</v>
      </c>
    </row>
    <row r="70" spans="1:14" x14ac:dyDescent="0.25">
      <c r="A70" s="2" t="s">
        <v>49</v>
      </c>
      <c r="B70" s="2" t="s">
        <v>20</v>
      </c>
      <c r="C70" s="2" t="s">
        <v>16</v>
      </c>
      <c r="D70" s="3">
        <v>480</v>
      </c>
      <c r="E70" s="3">
        <v>10</v>
      </c>
      <c r="F70" s="2" t="s">
        <v>21</v>
      </c>
      <c r="G70" s="3">
        <v>10</v>
      </c>
      <c r="H70" s="3">
        <v>4437</v>
      </c>
      <c r="I70" s="3">
        <v>4396</v>
      </c>
      <c r="J70" s="3">
        <v>41</v>
      </c>
      <c r="K70" s="4">
        <f t="shared" si="8"/>
        <v>0.97916666666666663</v>
      </c>
      <c r="L70" s="4">
        <f t="shared" si="9"/>
        <v>0.94404255319148933</v>
      </c>
      <c r="M70" s="4">
        <f t="shared" si="10"/>
        <v>0.99075952219968444</v>
      </c>
      <c r="N70" s="4">
        <f t="shared" si="11"/>
        <v>0.91583333333333328</v>
      </c>
    </row>
    <row r="71" spans="1:14" x14ac:dyDescent="0.25">
      <c r="A71" s="5" t="s">
        <v>50</v>
      </c>
      <c r="B71" s="5" t="s">
        <v>15</v>
      </c>
      <c r="C71" s="5" t="s">
        <v>16</v>
      </c>
      <c r="D71" s="6">
        <v>480</v>
      </c>
      <c r="E71" s="6">
        <v>12</v>
      </c>
      <c r="F71" s="5" t="s">
        <v>21</v>
      </c>
      <c r="G71" s="6">
        <v>10</v>
      </c>
      <c r="H71" s="6">
        <v>4447</v>
      </c>
      <c r="I71" s="6">
        <v>4372</v>
      </c>
      <c r="J71" s="6">
        <v>75</v>
      </c>
      <c r="K71" s="7">
        <f t="shared" si="8"/>
        <v>0.97499999999999998</v>
      </c>
      <c r="L71" s="7">
        <f t="shared" si="9"/>
        <v>0.95021367521367517</v>
      </c>
      <c r="M71" s="7">
        <f t="shared" si="10"/>
        <v>0.98313469754890936</v>
      </c>
      <c r="N71" s="7">
        <f t="shared" si="11"/>
        <v>0.91083333333333327</v>
      </c>
    </row>
    <row r="72" spans="1:14" x14ac:dyDescent="0.25">
      <c r="A72" s="2" t="s">
        <v>50</v>
      </c>
      <c r="B72" s="2" t="s">
        <v>18</v>
      </c>
      <c r="C72" s="2" t="s">
        <v>16</v>
      </c>
      <c r="D72" s="3">
        <v>480</v>
      </c>
      <c r="E72" s="3">
        <v>124</v>
      </c>
      <c r="F72" s="2" t="s">
        <v>19</v>
      </c>
      <c r="G72" s="3">
        <v>10</v>
      </c>
      <c r="H72" s="3">
        <v>3432</v>
      </c>
      <c r="I72" s="3">
        <v>3304</v>
      </c>
      <c r="J72" s="3">
        <v>128</v>
      </c>
      <c r="K72" s="4">
        <f t="shared" si="8"/>
        <v>0.7416666666666667</v>
      </c>
      <c r="L72" s="4">
        <f t="shared" si="9"/>
        <v>0.96404494382022476</v>
      </c>
      <c r="M72" s="4">
        <f t="shared" si="10"/>
        <v>0.96270396270396275</v>
      </c>
      <c r="N72" s="4">
        <f t="shared" si="11"/>
        <v>0.68833333333333346</v>
      </c>
    </row>
    <row r="73" spans="1:14" x14ac:dyDescent="0.25">
      <c r="A73" s="5" t="s">
        <v>50</v>
      </c>
      <c r="B73" s="5" t="s">
        <v>20</v>
      </c>
      <c r="C73" s="5" t="s">
        <v>16</v>
      </c>
      <c r="D73" s="6">
        <v>480</v>
      </c>
      <c r="E73" s="6">
        <v>2</v>
      </c>
      <c r="F73" s="5" t="s">
        <v>21</v>
      </c>
      <c r="G73" s="6">
        <v>10</v>
      </c>
      <c r="H73" s="6">
        <v>4687</v>
      </c>
      <c r="I73" s="6">
        <v>4606</v>
      </c>
      <c r="J73" s="6">
        <v>81</v>
      </c>
      <c r="K73" s="7">
        <f t="shared" si="8"/>
        <v>0.99583333333333335</v>
      </c>
      <c r="L73" s="7">
        <f t="shared" si="9"/>
        <v>0.98054393305439336</v>
      </c>
      <c r="M73" s="7">
        <f t="shared" si="10"/>
        <v>0.98271815660337103</v>
      </c>
      <c r="N73" s="7">
        <f t="shared" si="11"/>
        <v>0.95958333333333345</v>
      </c>
    </row>
    <row r="74" spans="1:14" x14ac:dyDescent="0.25">
      <c r="A74" s="2" t="s">
        <v>51</v>
      </c>
      <c r="B74" s="2" t="s">
        <v>15</v>
      </c>
      <c r="C74" s="2" t="s">
        <v>16</v>
      </c>
      <c r="D74" s="3">
        <v>480</v>
      </c>
      <c r="E74" s="3">
        <v>38</v>
      </c>
      <c r="F74" s="2" t="s">
        <v>33</v>
      </c>
      <c r="G74" s="3">
        <v>10</v>
      </c>
      <c r="H74" s="3">
        <v>4199</v>
      </c>
      <c r="I74" s="3">
        <v>4134</v>
      </c>
      <c r="J74" s="3">
        <v>65</v>
      </c>
      <c r="K74" s="4">
        <f t="shared" si="8"/>
        <v>0.92083333333333328</v>
      </c>
      <c r="L74" s="4">
        <f t="shared" si="9"/>
        <v>0.95</v>
      </c>
      <c r="M74" s="4">
        <f t="shared" si="10"/>
        <v>0.98452012383900933</v>
      </c>
      <c r="N74" s="4">
        <f t="shared" si="11"/>
        <v>0.86124999999999985</v>
      </c>
    </row>
    <row r="75" spans="1:14" x14ac:dyDescent="0.25">
      <c r="A75" s="5" t="s">
        <v>51</v>
      </c>
      <c r="B75" s="5" t="s">
        <v>18</v>
      </c>
      <c r="C75" s="5" t="s">
        <v>16</v>
      </c>
      <c r="D75" s="6">
        <v>480</v>
      </c>
      <c r="E75" s="6">
        <v>53</v>
      </c>
      <c r="F75" s="5" t="s">
        <v>23</v>
      </c>
      <c r="G75" s="6">
        <v>10</v>
      </c>
      <c r="H75" s="6">
        <v>4155</v>
      </c>
      <c r="I75" s="6">
        <v>3963</v>
      </c>
      <c r="J75" s="6">
        <v>192</v>
      </c>
      <c r="K75" s="7">
        <f t="shared" si="8"/>
        <v>0.88958333333333328</v>
      </c>
      <c r="L75" s="7">
        <f t="shared" si="9"/>
        <v>0.97306791569086648</v>
      </c>
      <c r="M75" s="7">
        <f t="shared" si="10"/>
        <v>0.95379061371841156</v>
      </c>
      <c r="N75" s="7">
        <f t="shared" si="11"/>
        <v>0.82562499999999994</v>
      </c>
    </row>
    <row r="76" spans="1:14" x14ac:dyDescent="0.25">
      <c r="A76" s="2" t="s">
        <v>51</v>
      </c>
      <c r="B76" s="2" t="s">
        <v>20</v>
      </c>
      <c r="C76" s="2" t="s">
        <v>16</v>
      </c>
      <c r="D76" s="3">
        <v>480</v>
      </c>
      <c r="E76" s="3">
        <v>8</v>
      </c>
      <c r="F76" s="2" t="s">
        <v>21</v>
      </c>
      <c r="G76" s="3">
        <v>10</v>
      </c>
      <c r="H76" s="3">
        <v>4571</v>
      </c>
      <c r="I76" s="3">
        <v>4516</v>
      </c>
      <c r="J76" s="3">
        <v>55</v>
      </c>
      <c r="K76" s="4">
        <f t="shared" si="8"/>
        <v>0.98333333333333328</v>
      </c>
      <c r="L76" s="4">
        <f t="shared" si="9"/>
        <v>0.96843220338983049</v>
      </c>
      <c r="M76" s="4">
        <f t="shared" si="10"/>
        <v>0.98796762196455923</v>
      </c>
      <c r="N76" s="4">
        <f t="shared" si="11"/>
        <v>0.94083333333333341</v>
      </c>
    </row>
    <row r="77" spans="1:14" x14ac:dyDescent="0.25">
      <c r="A77" s="5" t="s">
        <v>52</v>
      </c>
      <c r="B77" s="5" t="s">
        <v>15</v>
      </c>
      <c r="C77" s="5" t="s">
        <v>16</v>
      </c>
      <c r="D77" s="6">
        <v>480</v>
      </c>
      <c r="E77" s="6">
        <v>4</v>
      </c>
      <c r="F77" s="5" t="s">
        <v>21</v>
      </c>
      <c r="G77" s="6">
        <v>10</v>
      </c>
      <c r="H77" s="6">
        <v>4628</v>
      </c>
      <c r="I77" s="6">
        <v>4573</v>
      </c>
      <c r="J77" s="6">
        <v>55</v>
      </c>
      <c r="K77" s="7">
        <f t="shared" si="8"/>
        <v>0.9916666666666667</v>
      </c>
      <c r="L77" s="7">
        <f t="shared" si="9"/>
        <v>0.9722689075630252</v>
      </c>
      <c r="M77" s="7">
        <f t="shared" si="10"/>
        <v>0.98811581676750215</v>
      </c>
      <c r="N77" s="7">
        <f t="shared" si="11"/>
        <v>0.95270833333333338</v>
      </c>
    </row>
    <row r="78" spans="1:14" x14ac:dyDescent="0.25">
      <c r="A78" s="2" t="s">
        <v>52</v>
      </c>
      <c r="B78" s="2" t="s">
        <v>18</v>
      </c>
      <c r="C78" s="2" t="s">
        <v>16</v>
      </c>
      <c r="D78" s="3">
        <v>480</v>
      </c>
      <c r="E78" s="3">
        <v>108</v>
      </c>
      <c r="F78" s="2" t="s">
        <v>31</v>
      </c>
      <c r="G78" s="3">
        <v>10</v>
      </c>
      <c r="H78" s="3">
        <v>3318</v>
      </c>
      <c r="I78" s="3">
        <v>3201</v>
      </c>
      <c r="J78" s="3">
        <v>117</v>
      </c>
      <c r="K78" s="4">
        <f t="shared" si="8"/>
        <v>0.77500000000000002</v>
      </c>
      <c r="L78" s="4">
        <f t="shared" si="9"/>
        <v>0.89193548387096777</v>
      </c>
      <c r="M78" s="4">
        <f t="shared" si="10"/>
        <v>0.96473779385171787</v>
      </c>
      <c r="N78" s="4">
        <f t="shared" si="11"/>
        <v>0.666875</v>
      </c>
    </row>
    <row r="79" spans="1:14" x14ac:dyDescent="0.25">
      <c r="A79" s="5" t="s">
        <v>52</v>
      </c>
      <c r="B79" s="5" t="s">
        <v>20</v>
      </c>
      <c r="C79" s="5" t="s">
        <v>16</v>
      </c>
      <c r="D79" s="6">
        <v>480</v>
      </c>
      <c r="E79" s="6">
        <v>4</v>
      </c>
      <c r="F79" s="5" t="s">
        <v>21</v>
      </c>
      <c r="G79" s="6">
        <v>10</v>
      </c>
      <c r="H79" s="6">
        <v>4563</v>
      </c>
      <c r="I79" s="6">
        <v>4499</v>
      </c>
      <c r="J79" s="6">
        <v>64</v>
      </c>
      <c r="K79" s="7">
        <f t="shared" si="8"/>
        <v>0.9916666666666667</v>
      </c>
      <c r="L79" s="7">
        <f t="shared" si="9"/>
        <v>0.9586134453781513</v>
      </c>
      <c r="M79" s="7">
        <f t="shared" si="10"/>
        <v>0.98597413982029369</v>
      </c>
      <c r="N79" s="7">
        <f t="shared" si="11"/>
        <v>0.93729166666666675</v>
      </c>
    </row>
    <row r="80" spans="1:14" x14ac:dyDescent="0.25">
      <c r="A80" s="2" t="s">
        <v>53</v>
      </c>
      <c r="B80" s="2" t="s">
        <v>15</v>
      </c>
      <c r="C80" s="2" t="s">
        <v>16</v>
      </c>
      <c r="D80" s="3">
        <v>480</v>
      </c>
      <c r="E80" s="3">
        <v>37</v>
      </c>
      <c r="F80" s="2" t="s">
        <v>33</v>
      </c>
      <c r="G80" s="3">
        <v>10</v>
      </c>
      <c r="H80" s="3">
        <v>4224</v>
      </c>
      <c r="I80" s="3">
        <v>4199</v>
      </c>
      <c r="J80" s="3">
        <v>25</v>
      </c>
      <c r="K80" s="4">
        <f t="shared" si="8"/>
        <v>0.92291666666666672</v>
      </c>
      <c r="L80" s="4">
        <f t="shared" si="9"/>
        <v>0.95349887133182842</v>
      </c>
      <c r="M80" s="4">
        <f t="shared" si="10"/>
        <v>0.99408143939393945</v>
      </c>
      <c r="N80" s="4">
        <f t="shared" si="11"/>
        <v>0.87479166666666675</v>
      </c>
    </row>
    <row r="81" spans="1:14" x14ac:dyDescent="0.25">
      <c r="A81" s="5" t="s">
        <v>53</v>
      </c>
      <c r="B81" s="5" t="s">
        <v>18</v>
      </c>
      <c r="C81" s="5" t="s">
        <v>16</v>
      </c>
      <c r="D81" s="6">
        <v>480</v>
      </c>
      <c r="E81" s="6">
        <v>99</v>
      </c>
      <c r="F81" s="5" t="s">
        <v>31</v>
      </c>
      <c r="G81" s="6">
        <v>10</v>
      </c>
      <c r="H81" s="6">
        <v>3685</v>
      </c>
      <c r="I81" s="6">
        <v>3515</v>
      </c>
      <c r="J81" s="6">
        <v>170</v>
      </c>
      <c r="K81" s="7">
        <f t="shared" si="8"/>
        <v>0.79374999999999996</v>
      </c>
      <c r="L81" s="7">
        <f t="shared" si="9"/>
        <v>0.96719160104986879</v>
      </c>
      <c r="M81" s="7">
        <f t="shared" si="10"/>
        <v>0.95386702849389415</v>
      </c>
      <c r="N81" s="7">
        <f t="shared" si="11"/>
        <v>0.73229166666666667</v>
      </c>
    </row>
    <row r="82" spans="1:14" x14ac:dyDescent="0.25">
      <c r="A82" s="2" t="s">
        <v>53</v>
      </c>
      <c r="B82" s="2" t="s">
        <v>20</v>
      </c>
      <c r="C82" s="2" t="s">
        <v>16</v>
      </c>
      <c r="D82" s="3">
        <v>480</v>
      </c>
      <c r="E82" s="3">
        <v>7</v>
      </c>
      <c r="F82" s="2" t="s">
        <v>21</v>
      </c>
      <c r="G82" s="3">
        <v>10</v>
      </c>
      <c r="H82" s="3">
        <v>4461</v>
      </c>
      <c r="I82" s="3">
        <v>4431</v>
      </c>
      <c r="J82" s="3">
        <v>30</v>
      </c>
      <c r="K82" s="4">
        <f t="shared" si="8"/>
        <v>0.98541666666666672</v>
      </c>
      <c r="L82" s="4">
        <f t="shared" si="9"/>
        <v>0.94312896405919666</v>
      </c>
      <c r="M82" s="4">
        <f t="shared" si="10"/>
        <v>0.99327505043712172</v>
      </c>
      <c r="N82" s="4">
        <f t="shared" si="11"/>
        <v>0.92312500000000008</v>
      </c>
    </row>
    <row r="83" spans="1:14" x14ac:dyDescent="0.25">
      <c r="A83" s="5" t="s">
        <v>54</v>
      </c>
      <c r="B83" s="5" t="s">
        <v>15</v>
      </c>
      <c r="C83" s="5" t="s">
        <v>16</v>
      </c>
      <c r="D83" s="6">
        <v>480</v>
      </c>
      <c r="E83" s="6">
        <v>30</v>
      </c>
      <c r="F83" s="5" t="s">
        <v>33</v>
      </c>
      <c r="G83" s="6">
        <v>10</v>
      </c>
      <c r="H83" s="6">
        <v>4312</v>
      </c>
      <c r="I83" s="6">
        <v>4273</v>
      </c>
      <c r="J83" s="6">
        <v>39</v>
      </c>
      <c r="K83" s="7">
        <f t="shared" si="8"/>
        <v>0.9375</v>
      </c>
      <c r="L83" s="7">
        <f t="shared" si="9"/>
        <v>0.9582222222222222</v>
      </c>
      <c r="M83" s="7">
        <f t="shared" si="10"/>
        <v>0.99095547309833021</v>
      </c>
      <c r="N83" s="7">
        <f t="shared" si="11"/>
        <v>0.89020833333333327</v>
      </c>
    </row>
    <row r="84" spans="1:14" x14ac:dyDescent="0.25">
      <c r="A84" s="2" t="s">
        <v>54</v>
      </c>
      <c r="B84" s="2" t="s">
        <v>18</v>
      </c>
      <c r="C84" s="2" t="s">
        <v>16</v>
      </c>
      <c r="D84" s="3">
        <v>480</v>
      </c>
      <c r="E84" s="3">
        <v>78</v>
      </c>
      <c r="F84" s="2" t="s">
        <v>19</v>
      </c>
      <c r="G84" s="3">
        <v>10</v>
      </c>
      <c r="H84" s="3">
        <v>3584</v>
      </c>
      <c r="I84" s="3">
        <v>3442</v>
      </c>
      <c r="J84" s="3">
        <v>142</v>
      </c>
      <c r="K84" s="4">
        <f t="shared" si="8"/>
        <v>0.83750000000000002</v>
      </c>
      <c r="L84" s="4">
        <f t="shared" si="9"/>
        <v>0.89154228855721396</v>
      </c>
      <c r="M84" s="4">
        <f t="shared" si="10"/>
        <v>0.9603794642857143</v>
      </c>
      <c r="N84" s="4">
        <f t="shared" si="11"/>
        <v>0.71708333333333341</v>
      </c>
    </row>
    <row r="85" spans="1:14" x14ac:dyDescent="0.25">
      <c r="A85" s="5" t="s">
        <v>54</v>
      </c>
      <c r="B85" s="5" t="s">
        <v>20</v>
      </c>
      <c r="C85" s="5" t="s">
        <v>16</v>
      </c>
      <c r="D85" s="6">
        <v>480</v>
      </c>
      <c r="E85" s="6">
        <v>8</v>
      </c>
      <c r="F85" s="5" t="s">
        <v>21</v>
      </c>
      <c r="G85" s="6">
        <v>10</v>
      </c>
      <c r="H85" s="6">
        <v>4448</v>
      </c>
      <c r="I85" s="6">
        <v>4375</v>
      </c>
      <c r="J85" s="6">
        <v>73</v>
      </c>
      <c r="K85" s="7">
        <f t="shared" si="8"/>
        <v>0.98333333333333328</v>
      </c>
      <c r="L85" s="7">
        <f t="shared" si="9"/>
        <v>0.94237288135593222</v>
      </c>
      <c r="M85" s="7">
        <f t="shared" si="10"/>
        <v>0.98358812949640284</v>
      </c>
      <c r="N85" s="7">
        <f t="shared" si="11"/>
        <v>0.91145833333333326</v>
      </c>
    </row>
    <row r="86" spans="1:14" x14ac:dyDescent="0.25">
      <c r="A86" s="2" t="s">
        <v>55</v>
      </c>
      <c r="B86" s="2" t="s">
        <v>15</v>
      </c>
      <c r="C86" s="2" t="s">
        <v>16</v>
      </c>
      <c r="D86" s="3">
        <v>480</v>
      </c>
      <c r="E86" s="3">
        <v>3</v>
      </c>
      <c r="F86" s="2" t="s">
        <v>21</v>
      </c>
      <c r="G86" s="3">
        <v>10</v>
      </c>
      <c r="H86" s="3">
        <v>4588</v>
      </c>
      <c r="I86" s="3">
        <v>4519</v>
      </c>
      <c r="J86" s="3">
        <v>69</v>
      </c>
      <c r="K86" s="4">
        <f t="shared" si="8"/>
        <v>0.99375000000000002</v>
      </c>
      <c r="L86" s="4">
        <f t="shared" si="9"/>
        <v>0.96184486373165623</v>
      </c>
      <c r="M86" s="4">
        <f t="shared" si="10"/>
        <v>0.98496076721883175</v>
      </c>
      <c r="N86" s="4">
        <f t="shared" si="11"/>
        <v>0.9414583333333334</v>
      </c>
    </row>
    <row r="87" spans="1:14" x14ac:dyDescent="0.25">
      <c r="A87" s="5" t="s">
        <v>55</v>
      </c>
      <c r="B87" s="5" t="s">
        <v>18</v>
      </c>
      <c r="C87" s="5" t="s">
        <v>16</v>
      </c>
      <c r="D87" s="6">
        <v>480</v>
      </c>
      <c r="E87" s="6">
        <v>30</v>
      </c>
      <c r="F87" s="5" t="s">
        <v>23</v>
      </c>
      <c r="G87" s="6">
        <v>10</v>
      </c>
      <c r="H87" s="6">
        <v>4038</v>
      </c>
      <c r="I87" s="6">
        <v>3860</v>
      </c>
      <c r="J87" s="6">
        <v>178</v>
      </c>
      <c r="K87" s="7">
        <f t="shared" si="8"/>
        <v>0.9375</v>
      </c>
      <c r="L87" s="7">
        <f t="shared" si="9"/>
        <v>0.89733333333333332</v>
      </c>
      <c r="M87" s="7">
        <f t="shared" si="10"/>
        <v>0.95591877166914319</v>
      </c>
      <c r="N87" s="7">
        <f t="shared" si="11"/>
        <v>0.8041666666666667</v>
      </c>
    </row>
    <row r="88" spans="1:14" x14ac:dyDescent="0.25">
      <c r="A88" s="2" t="s">
        <v>55</v>
      </c>
      <c r="B88" s="2" t="s">
        <v>20</v>
      </c>
      <c r="C88" s="2" t="s">
        <v>16</v>
      </c>
      <c r="D88" s="3">
        <v>480</v>
      </c>
      <c r="E88" s="3">
        <v>59</v>
      </c>
      <c r="F88" s="2" t="s">
        <v>24</v>
      </c>
      <c r="G88" s="3">
        <v>10</v>
      </c>
      <c r="H88" s="3">
        <v>4000</v>
      </c>
      <c r="I88" s="3">
        <v>3941</v>
      </c>
      <c r="J88" s="3">
        <v>59</v>
      </c>
      <c r="K88" s="4">
        <f t="shared" si="8"/>
        <v>0.87708333333333333</v>
      </c>
      <c r="L88" s="4">
        <f t="shared" si="9"/>
        <v>0.95011876484560565</v>
      </c>
      <c r="M88" s="4">
        <f t="shared" si="10"/>
        <v>0.98524999999999996</v>
      </c>
      <c r="N88" s="4">
        <f t="shared" si="11"/>
        <v>0.82104166666666656</v>
      </c>
    </row>
    <row r="89" spans="1:14" x14ac:dyDescent="0.25">
      <c r="A89" s="5" t="s">
        <v>56</v>
      </c>
      <c r="B89" s="5" t="s">
        <v>15</v>
      </c>
      <c r="C89" s="5" t="s">
        <v>16</v>
      </c>
      <c r="D89" s="6">
        <v>480</v>
      </c>
      <c r="E89" s="6">
        <v>5</v>
      </c>
      <c r="F89" s="5" t="s">
        <v>21</v>
      </c>
      <c r="G89" s="6">
        <v>10</v>
      </c>
      <c r="H89" s="6">
        <v>4506</v>
      </c>
      <c r="I89" s="6">
        <v>4468</v>
      </c>
      <c r="J89" s="6">
        <v>38</v>
      </c>
      <c r="K89" s="7">
        <f t="shared" si="8"/>
        <v>0.98958333333333337</v>
      </c>
      <c r="L89" s="7">
        <f t="shared" si="9"/>
        <v>0.94863157894736838</v>
      </c>
      <c r="M89" s="7">
        <f t="shared" si="10"/>
        <v>0.99156679982245899</v>
      </c>
      <c r="N89" s="7">
        <f t="shared" si="11"/>
        <v>0.9308333333333334</v>
      </c>
    </row>
    <row r="90" spans="1:14" x14ac:dyDescent="0.25">
      <c r="A90" s="2" t="s">
        <v>56</v>
      </c>
      <c r="B90" s="2" t="s">
        <v>18</v>
      </c>
      <c r="C90" s="2" t="s">
        <v>16</v>
      </c>
      <c r="D90" s="3">
        <v>480</v>
      </c>
      <c r="E90" s="3">
        <v>30</v>
      </c>
      <c r="F90" s="2" t="s">
        <v>23</v>
      </c>
      <c r="G90" s="3">
        <v>10</v>
      </c>
      <c r="H90" s="3">
        <v>3962</v>
      </c>
      <c r="I90" s="3">
        <v>3784</v>
      </c>
      <c r="J90" s="3">
        <v>178</v>
      </c>
      <c r="K90" s="4">
        <f t="shared" si="8"/>
        <v>0.9375</v>
      </c>
      <c r="L90" s="4">
        <f t="shared" si="9"/>
        <v>0.88044444444444447</v>
      </c>
      <c r="M90" s="4">
        <f t="shared" si="10"/>
        <v>0.95507319535588087</v>
      </c>
      <c r="N90" s="4">
        <f t="shared" si="11"/>
        <v>0.78833333333333333</v>
      </c>
    </row>
    <row r="91" spans="1:14" x14ac:dyDescent="0.25">
      <c r="A91" s="5" t="s">
        <v>56</v>
      </c>
      <c r="B91" s="5" t="s">
        <v>20</v>
      </c>
      <c r="C91" s="5" t="s">
        <v>16</v>
      </c>
      <c r="D91" s="6">
        <v>480</v>
      </c>
      <c r="E91" s="6">
        <v>65</v>
      </c>
      <c r="F91" s="5" t="s">
        <v>24</v>
      </c>
      <c r="G91" s="6">
        <v>10</v>
      </c>
      <c r="H91" s="6">
        <v>3919</v>
      </c>
      <c r="I91" s="6">
        <v>3872</v>
      </c>
      <c r="J91" s="6">
        <v>47</v>
      </c>
      <c r="K91" s="7">
        <f t="shared" si="8"/>
        <v>0.86458333333333337</v>
      </c>
      <c r="L91" s="7">
        <f t="shared" si="9"/>
        <v>0.9443373493975904</v>
      </c>
      <c r="M91" s="7">
        <f t="shared" si="10"/>
        <v>0.98800714467976525</v>
      </c>
      <c r="N91" s="7">
        <f t="shared" si="11"/>
        <v>0.80666666666666675</v>
      </c>
    </row>
    <row r="92" spans="1:14" x14ac:dyDescent="0.25">
      <c r="A92" s="2" t="s">
        <v>57</v>
      </c>
      <c r="B92" s="2" t="s">
        <v>15</v>
      </c>
      <c r="C92" s="2" t="s">
        <v>16</v>
      </c>
      <c r="D92" s="3">
        <v>480</v>
      </c>
      <c r="E92" s="3">
        <v>14</v>
      </c>
      <c r="F92" s="2" t="s">
        <v>21</v>
      </c>
      <c r="G92" s="3">
        <v>10</v>
      </c>
      <c r="H92" s="3">
        <v>4517</v>
      </c>
      <c r="I92" s="3">
        <v>4461</v>
      </c>
      <c r="J92" s="3">
        <v>56</v>
      </c>
      <c r="K92" s="4">
        <f t="shared" si="8"/>
        <v>0.97083333333333333</v>
      </c>
      <c r="L92" s="4">
        <f t="shared" si="9"/>
        <v>0.96931330472103006</v>
      </c>
      <c r="M92" s="4">
        <f t="shared" si="10"/>
        <v>0.98760239096745628</v>
      </c>
      <c r="N92" s="4">
        <f t="shared" si="11"/>
        <v>0.92937499999999995</v>
      </c>
    </row>
    <row r="93" spans="1:14" x14ac:dyDescent="0.25">
      <c r="A93" s="5" t="s">
        <v>57</v>
      </c>
      <c r="B93" s="5" t="s">
        <v>18</v>
      </c>
      <c r="C93" s="5" t="s">
        <v>16</v>
      </c>
      <c r="D93" s="6">
        <v>480</v>
      </c>
      <c r="E93" s="6">
        <v>76</v>
      </c>
      <c r="F93" s="5" t="s">
        <v>19</v>
      </c>
      <c r="G93" s="6">
        <v>10</v>
      </c>
      <c r="H93" s="6">
        <v>3658</v>
      </c>
      <c r="I93" s="6">
        <v>3513</v>
      </c>
      <c r="J93" s="6">
        <v>145</v>
      </c>
      <c r="K93" s="7">
        <f t="shared" si="8"/>
        <v>0.84166666666666667</v>
      </c>
      <c r="L93" s="7">
        <f t="shared" si="9"/>
        <v>0.90544554455445547</v>
      </c>
      <c r="M93" s="7">
        <f t="shared" si="10"/>
        <v>0.96036085292509565</v>
      </c>
      <c r="N93" s="7">
        <f t="shared" si="11"/>
        <v>0.73187499999999994</v>
      </c>
    </row>
    <row r="94" spans="1:14" x14ac:dyDescent="0.25">
      <c r="A94" s="2" t="s">
        <v>57</v>
      </c>
      <c r="B94" s="2" t="s">
        <v>20</v>
      </c>
      <c r="C94" s="2" t="s">
        <v>16</v>
      </c>
      <c r="D94" s="3">
        <v>480</v>
      </c>
      <c r="E94" s="3">
        <v>13</v>
      </c>
      <c r="F94" s="2" t="s">
        <v>21</v>
      </c>
      <c r="G94" s="3">
        <v>10</v>
      </c>
      <c r="H94" s="3">
        <v>4478</v>
      </c>
      <c r="I94" s="3">
        <v>4406</v>
      </c>
      <c r="J94" s="3">
        <v>72</v>
      </c>
      <c r="K94" s="4">
        <f t="shared" si="8"/>
        <v>0.97291666666666665</v>
      </c>
      <c r="L94" s="4">
        <f t="shared" si="9"/>
        <v>0.95888650963597433</v>
      </c>
      <c r="M94" s="4">
        <f t="shared" si="10"/>
        <v>0.9839213934792318</v>
      </c>
      <c r="N94" s="4">
        <f t="shared" si="11"/>
        <v>0.91791666666666671</v>
      </c>
    </row>
    <row r="95" spans="1:14" x14ac:dyDescent="0.25">
      <c r="A95" s="5" t="s">
        <v>58</v>
      </c>
      <c r="B95" s="5" t="s">
        <v>15</v>
      </c>
      <c r="C95" s="5" t="s">
        <v>16</v>
      </c>
      <c r="D95" s="6">
        <v>480</v>
      </c>
      <c r="E95" s="6">
        <v>40</v>
      </c>
      <c r="F95" s="5" t="s">
        <v>17</v>
      </c>
      <c r="G95" s="6">
        <v>10</v>
      </c>
      <c r="H95" s="6">
        <v>4258</v>
      </c>
      <c r="I95" s="6">
        <v>4232</v>
      </c>
      <c r="J95" s="6">
        <v>26</v>
      </c>
      <c r="K95" s="7">
        <f t="shared" si="8"/>
        <v>0.91666666666666663</v>
      </c>
      <c r="L95" s="7">
        <f t="shared" si="9"/>
        <v>0.96772727272727277</v>
      </c>
      <c r="M95" s="7">
        <f t="shared" si="10"/>
        <v>0.99389384687646787</v>
      </c>
      <c r="N95" s="7">
        <f t="shared" si="11"/>
        <v>0.88166666666666671</v>
      </c>
    </row>
    <row r="96" spans="1:14" x14ac:dyDescent="0.25">
      <c r="A96" s="2" t="s">
        <v>58</v>
      </c>
      <c r="B96" s="2" t="s">
        <v>18</v>
      </c>
      <c r="C96" s="2" t="s">
        <v>16</v>
      </c>
      <c r="D96" s="3">
        <v>480</v>
      </c>
      <c r="E96" s="3">
        <v>62</v>
      </c>
      <c r="F96" s="2" t="s">
        <v>26</v>
      </c>
      <c r="G96" s="3">
        <v>10</v>
      </c>
      <c r="H96" s="3">
        <v>3782</v>
      </c>
      <c r="I96" s="3">
        <v>3637</v>
      </c>
      <c r="J96" s="3">
        <v>145</v>
      </c>
      <c r="K96" s="4">
        <f t="shared" si="8"/>
        <v>0.87083333333333335</v>
      </c>
      <c r="L96" s="4">
        <f t="shared" si="9"/>
        <v>0.90478468899521536</v>
      </c>
      <c r="M96" s="4">
        <f t="shared" si="10"/>
        <v>0.96166049709148593</v>
      </c>
      <c r="N96" s="4">
        <f t="shared" si="11"/>
        <v>0.75770833333333332</v>
      </c>
    </row>
    <row r="97" spans="1:14" x14ac:dyDescent="0.25">
      <c r="A97" s="5" t="s">
        <v>58</v>
      </c>
      <c r="B97" s="5" t="s">
        <v>20</v>
      </c>
      <c r="C97" s="5" t="s">
        <v>16</v>
      </c>
      <c r="D97" s="6">
        <v>480</v>
      </c>
      <c r="E97" s="6">
        <v>10</v>
      </c>
      <c r="F97" s="5" t="s">
        <v>21</v>
      </c>
      <c r="G97" s="6">
        <v>10</v>
      </c>
      <c r="H97" s="6">
        <v>4504</v>
      </c>
      <c r="I97" s="6">
        <v>4468</v>
      </c>
      <c r="J97" s="6">
        <v>36</v>
      </c>
      <c r="K97" s="7">
        <f t="shared" si="8"/>
        <v>0.97916666666666663</v>
      </c>
      <c r="L97" s="7">
        <f t="shared" si="9"/>
        <v>0.95829787234042552</v>
      </c>
      <c r="M97" s="7">
        <f t="shared" si="10"/>
        <v>0.99200710479573717</v>
      </c>
      <c r="N97" s="7">
        <f t="shared" si="11"/>
        <v>0.93083333333333329</v>
      </c>
    </row>
    <row r="98" spans="1:14" x14ac:dyDescent="0.25">
      <c r="A98" s="2" t="s">
        <v>59</v>
      </c>
      <c r="B98" s="2" t="s">
        <v>15</v>
      </c>
      <c r="C98" s="2" t="s">
        <v>16</v>
      </c>
      <c r="D98" s="3">
        <v>480</v>
      </c>
      <c r="E98" s="3">
        <v>1</v>
      </c>
      <c r="F98" s="2" t="s">
        <v>21</v>
      </c>
      <c r="G98" s="3">
        <v>10</v>
      </c>
      <c r="H98" s="3">
        <v>4637</v>
      </c>
      <c r="I98" s="3">
        <v>4552</v>
      </c>
      <c r="J98" s="3">
        <v>85</v>
      </c>
      <c r="K98" s="4">
        <f t="shared" si="8"/>
        <v>0.99791666666666667</v>
      </c>
      <c r="L98" s="4">
        <f t="shared" si="9"/>
        <v>0.96805845511482258</v>
      </c>
      <c r="M98" s="4">
        <f t="shared" si="10"/>
        <v>0.9816691826612034</v>
      </c>
      <c r="N98" s="4">
        <f t="shared" ref="N98:N129" si="12">K98*L98*M98</f>
        <v>0.94833333333333336</v>
      </c>
    </row>
    <row r="99" spans="1:14" x14ac:dyDescent="0.25">
      <c r="A99" s="5" t="s">
        <v>59</v>
      </c>
      <c r="B99" s="5" t="s">
        <v>18</v>
      </c>
      <c r="C99" s="5" t="s">
        <v>16</v>
      </c>
      <c r="D99" s="6">
        <v>480</v>
      </c>
      <c r="E99" s="6">
        <v>118</v>
      </c>
      <c r="F99" s="5" t="s">
        <v>26</v>
      </c>
      <c r="G99" s="6">
        <v>10</v>
      </c>
      <c r="H99" s="6">
        <v>3467</v>
      </c>
      <c r="I99" s="6">
        <v>3302</v>
      </c>
      <c r="J99" s="6">
        <v>165</v>
      </c>
      <c r="K99" s="7">
        <f t="shared" si="8"/>
        <v>0.75416666666666665</v>
      </c>
      <c r="L99" s="7">
        <f t="shared" si="9"/>
        <v>0.95773480662983423</v>
      </c>
      <c r="M99" s="7">
        <f t="shared" si="10"/>
        <v>0.95240842226708966</v>
      </c>
      <c r="N99" s="7">
        <f t="shared" si="12"/>
        <v>0.68791666666666662</v>
      </c>
    </row>
    <row r="100" spans="1:14" x14ac:dyDescent="0.25">
      <c r="A100" s="2" t="s">
        <v>59</v>
      </c>
      <c r="B100" s="2" t="s">
        <v>20</v>
      </c>
      <c r="C100" s="2" t="s">
        <v>16</v>
      </c>
      <c r="D100" s="3">
        <v>480</v>
      </c>
      <c r="E100" s="3">
        <v>2</v>
      </c>
      <c r="F100" s="2" t="s">
        <v>21</v>
      </c>
      <c r="G100" s="3">
        <v>10</v>
      </c>
      <c r="H100" s="3">
        <v>4559</v>
      </c>
      <c r="I100" s="3">
        <v>4532</v>
      </c>
      <c r="J100" s="3">
        <v>27</v>
      </c>
      <c r="K100" s="4">
        <f t="shared" si="8"/>
        <v>0.99583333333333335</v>
      </c>
      <c r="L100" s="4">
        <f t="shared" si="9"/>
        <v>0.953765690376569</v>
      </c>
      <c r="M100" s="4">
        <f t="shared" si="10"/>
        <v>0.99407764860715064</v>
      </c>
      <c r="N100" s="4">
        <f t="shared" si="12"/>
        <v>0.9441666666666666</v>
      </c>
    </row>
    <row r="101" spans="1:14" x14ac:dyDescent="0.25">
      <c r="A101" s="5" t="s">
        <v>60</v>
      </c>
      <c r="B101" s="5" t="s">
        <v>15</v>
      </c>
      <c r="C101" s="5" t="s">
        <v>16</v>
      </c>
      <c r="D101" s="6">
        <v>480</v>
      </c>
      <c r="E101" s="6">
        <v>7</v>
      </c>
      <c r="F101" s="5" t="s">
        <v>21</v>
      </c>
      <c r="G101" s="6">
        <v>10</v>
      </c>
      <c r="H101" s="6">
        <v>4675</v>
      </c>
      <c r="I101" s="6">
        <v>4583</v>
      </c>
      <c r="J101" s="6">
        <v>92</v>
      </c>
      <c r="K101" s="7">
        <f t="shared" si="8"/>
        <v>0.98541666666666672</v>
      </c>
      <c r="L101" s="7">
        <f t="shared" si="9"/>
        <v>0.98837209302325579</v>
      </c>
      <c r="M101" s="7">
        <f t="shared" si="10"/>
        <v>0.98032085561497329</v>
      </c>
      <c r="N101" s="7">
        <f t="shared" si="12"/>
        <v>0.95479166666666671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Üretim Ham Verileri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Okan TUNA</cp:lastModifiedBy>
  <dcterms:created xsi:type="dcterms:W3CDTF">2026-06-18T06:43:51Z</dcterms:created>
  <dcterms:modified xsi:type="dcterms:W3CDTF">2026-06-18T06:48:12Z</dcterms:modified>
</cp:coreProperties>
</file>